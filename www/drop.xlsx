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gu\Training_tracker\www\"/>
    </mc:Choice>
  </mc:AlternateContent>
  <xr:revisionPtr revIDLastSave="0" documentId="13_ncr:1_{570445AA-BDEE-47D2-A599-D30A8C6AC35B}" xr6:coauthVersionLast="47" xr6:coauthVersionMax="47" xr10:uidLastSave="{00000000-0000-0000-0000-000000000000}"/>
  <bookViews>
    <workbookView xWindow="-110" yWindow="-110" windowWidth="19420" windowHeight="11500" xr2:uid="{00000000-000D-0000-FFFF-FFFF00000000}"/>
  </bookViews>
  <sheets>
    <sheet name="CSV" sheetId="12" r:id="rId1"/>
    <sheet name="cash advance" sheetId="10" state="hidden" r:id="rId2"/>
    <sheet name="3.Tasks" sheetId="7" state="hidden" r:id="rId3"/>
    <sheet name="Sheet2" sheetId="9"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_____YR1">#REF!</definedName>
    <definedName name="______YR2">#REF!</definedName>
    <definedName name="_____1__123Graph_ACHART_2" hidden="1">'[1]Not In Use HERE FORWARD------&gt;&gt;'!$C$11:$C$16</definedName>
    <definedName name="_____2__123Graph_BCHART_2" hidden="1">'[1]Not In Use HERE FORWARD------&gt;&gt;'!$D$11:$D$16</definedName>
    <definedName name="_____xlfn.BAHTTEXT" hidden="1">#NAME?</definedName>
    <definedName name="_____YR1">#REF!</definedName>
    <definedName name="_____YR2">#REF!</definedName>
    <definedName name="____1__123Graph_ACHART_2" hidden="1">'[2]Not In Use HERE FORWARD------&gt;&gt;'!$C$11:$C$16</definedName>
    <definedName name="____2__123Graph_BCHART_2" hidden="1">'[2]Not In Use HERE FORWARD------&gt;&gt;'!$D$11:$D$16</definedName>
    <definedName name="____xlfn.BAHTTEXT" hidden="1">#NAME?</definedName>
    <definedName name="____YR1">#REF!</definedName>
    <definedName name="____YR2">#REF!</definedName>
    <definedName name="___1__123Graph_ACHART_2" hidden="1">'[2]Not In Use HERE FORWARD------&gt;&gt;'!$C$11:$C$16</definedName>
    <definedName name="___2__123Graph_BCHART_2" hidden="1">'[2]Not In Use HERE FORWARD------&gt;&gt;'!$D$11:$D$16</definedName>
    <definedName name="___IN1" hidden="1">{#N/A,#N/A,FALSE," VAS";#N/A,#N/A,FALSE,"IS";#N/A,#N/A,FALSE,"B&amp;A";#N/A,#N/A,FALSE,"DAssets";#N/A,#N/A,FALSE,"ccare";#N/A,#N/A,FALSE,"ITitems";#N/A,#N/A,FALSE,"Power";#N/A,#N/A,FALSE,"Furniture";#N/A,#N/A,FALSE,"Vehicles";#N/A,#N/A,FALSE,"B. Improv"}</definedName>
    <definedName name="___xlfn.BAHTTEXT" hidden="1">#NAME?</definedName>
    <definedName name="___YR1">#REF!</definedName>
    <definedName name="___YR2">#REF!</definedName>
    <definedName name="__1__123Graph_ACHART_2" hidden="1">'[2]Not In Use HERE FORWARD------&gt;&gt;'!$C$11:$C$16</definedName>
    <definedName name="__123Graph_A" hidden="1">#REF!</definedName>
    <definedName name="__123Graph_AFESCAP" hidden="1">#REF!</definedName>
    <definedName name="__123Graph_AMALTACAP" hidden="1">#REF!</definedName>
    <definedName name="__123Graph_BFESCAP" hidden="1">#REF!</definedName>
    <definedName name="__123Graph_BMALTACAP" hidden="1">#REF!</definedName>
    <definedName name="__123Graph_CFESCAP" hidden="1">#REF!</definedName>
    <definedName name="__123Graph_DFESCAP" hidden="1">#REF!</definedName>
    <definedName name="__123Graph_X" hidden="1">#REF!</definedName>
    <definedName name="__123Graph_XFESCAP" hidden="1">#REF!</definedName>
    <definedName name="__123Graph_XMALTACAP" hidden="1">#REF!</definedName>
    <definedName name="__2__123Graph_BCHART_2" hidden="1">'[2]Not In Use HERE FORWARD------&gt;&gt;'!$D$11:$D$16</definedName>
    <definedName name="__IN1" hidden="1">{#N/A,#N/A,FALSE," VAS";#N/A,#N/A,FALSE,"IS";#N/A,#N/A,FALSE,"B&amp;A";#N/A,#N/A,FALSE,"DAssets";#N/A,#N/A,FALSE,"ccare";#N/A,#N/A,FALSE,"ITitems";#N/A,#N/A,FALSE,"Power";#N/A,#N/A,FALSE,"Furniture";#N/A,#N/A,FALSE,"Vehicles";#N/A,#N/A,FALSE,"B. Improv"}</definedName>
    <definedName name="__LIO2" hidden="1">{#N/A,#N/A,FALSE," VAS";#N/A,#N/A,FALSE,"IS";#N/A,#N/A,FALSE,"B&amp;A";#N/A,#N/A,FALSE,"DAssets";#N/A,#N/A,FALSE,"ccare";#N/A,#N/A,FALSE,"ITitems";#N/A,#N/A,FALSE,"Power";#N/A,#N/A,FALSE,"Furniture";#N/A,#N/A,FALSE,"Vehicles";#N/A,#N/A,FALSE,"B. Improv"}</definedName>
    <definedName name="__pa3" localSheetId="1">#REF!</definedName>
    <definedName name="__pa3">#REF!</definedName>
    <definedName name="__pa4" localSheetId="1">#REF!</definedName>
    <definedName name="__pa4">#REF!</definedName>
    <definedName name="__xlfn.AVERAGEIF" hidden="1">#NAME?</definedName>
    <definedName name="__xlfn.BAHTTEXT" hidden="1">#NAME?</definedName>
    <definedName name="__xlfn.IFERROR" hidden="1">#NAME?</definedName>
    <definedName name="__YR1">#REF!</definedName>
    <definedName name="__YR2">#REF!</definedName>
    <definedName name="_1__123Graph_ACHART_2" hidden="1">'[2]Not In Use HERE FORWARD------&gt;&gt;'!$C$11:$C$16</definedName>
    <definedName name="_1__123Graph_AGraphique_10C" hidden="1">#REF!</definedName>
    <definedName name="_1_0__123Grap" hidden="1">#REF!</definedName>
    <definedName name="_10__123Graph_AGraphique_19E" hidden="1">#REF!</definedName>
    <definedName name="_11__123Graph_AGraphique_1A" hidden="1">#REF!</definedName>
    <definedName name="_12__123Graph_AGraphique_20E" hidden="1">#REF!</definedName>
    <definedName name="_13__123Graph_AGraphique_21G" hidden="1">#REF!</definedName>
    <definedName name="_14__123Graph_AGraphique_22G" hidden="1">#REF!</definedName>
    <definedName name="_15__123Graph_AGraphique_23G" hidden="1">#REF!</definedName>
    <definedName name="_16__123Graph_AGraphique_24G" hidden="1">#REF!</definedName>
    <definedName name="_17__123Graph_AGraphique_25H" hidden="1">#REF!</definedName>
    <definedName name="_18__123Graph_AGraphique_26H" hidden="1">#REF!</definedName>
    <definedName name="_19__123Graph_AGraphique_27H" hidden="1">#REF!</definedName>
    <definedName name="_2__123Graph_ACHART_2" hidden="1">'[2]Not In Use HERE FORWARD------&gt;&gt;'!$C$11:$C$16</definedName>
    <definedName name="_2__123Graph_AGraphique_11C" hidden="1">#REF!</definedName>
    <definedName name="_2__123Graph_BCHART_2" hidden="1">'[2]Not In Use HERE FORWARD------&gt;&gt;'!$D$11:$D$16</definedName>
    <definedName name="_2_0__123Grap" hidden="1">#REF!</definedName>
    <definedName name="_20__123Graph_AGraphique_28I" hidden="1">#REF!</definedName>
    <definedName name="_21__123Graph_AGraphique_29I" hidden="1">#REF!</definedName>
    <definedName name="_22__123Graph_AGraphique_2A" hidden="1">#REF!</definedName>
    <definedName name="_23__123Graph_AGraphique_30I" hidden="1">#REF!</definedName>
    <definedName name="_24__123Graph_AGraphique_31J" hidden="1">#REF!</definedName>
    <definedName name="_25__123Graph_AGraphique_32J" hidden="1">#REF!</definedName>
    <definedName name="_26__123Graph_AGraphique_3A" hidden="1">#REF!</definedName>
    <definedName name="_27__123Graph_AGraphique_4A" hidden="1">#REF!</definedName>
    <definedName name="_28__123Graph_AGraphique_5B" hidden="1">#REF!</definedName>
    <definedName name="_29__123Graph_AGraphique_6B" hidden="1">#REF!</definedName>
    <definedName name="_3__123Graph_AGraphique_12C" hidden="1">#REF!</definedName>
    <definedName name="_30__123Graph_AGraphique_7B" hidden="1">#REF!</definedName>
    <definedName name="_31__123Graph_AGraphique_8B" hidden="1">#REF!</definedName>
    <definedName name="_32__123Graph_AGraphique_9C" hidden="1">#REF!</definedName>
    <definedName name="_33__123Graph_BGraphique_10C" hidden="1">#REF!</definedName>
    <definedName name="_34__123Graph_BGraphique_11C" hidden="1">#REF!</definedName>
    <definedName name="_35__123Graph_BGraphique_12C" hidden="1">#REF!</definedName>
    <definedName name="_36__123Graph_BGraphique_13D" hidden="1">#REF!</definedName>
    <definedName name="_37__123Graph_BGraphique_14D" hidden="1">#REF!</definedName>
    <definedName name="_38__123Graph_BGraphique_15D" hidden="1">#REF!</definedName>
    <definedName name="_39__123Graph_BGraphique_16D" hidden="1">#REF!</definedName>
    <definedName name="_4__123Graph_AGraphique_13D" hidden="1">#REF!</definedName>
    <definedName name="_4__123Graph_BCHART_2" hidden="1">'[2]Not In Use HERE FORWARD------&gt;&gt;'!$D$11:$D$16</definedName>
    <definedName name="_40__123Graph_BGraphique_17E" hidden="1">#REF!</definedName>
    <definedName name="_41__123Graph_BGraphique_18E" hidden="1">#REF!</definedName>
    <definedName name="_42__123Graph_BGraphique_19E" hidden="1">#REF!</definedName>
    <definedName name="_43__123Graph_BGraphique_1A" hidden="1">#REF!</definedName>
    <definedName name="_44__123Graph_BGraphique_20E" hidden="1">#REF!</definedName>
    <definedName name="_45__123Graph_BGraphique_21G" hidden="1">#REF!</definedName>
    <definedName name="_46__123Graph_BGraphique_22G" hidden="1">#REF!</definedName>
    <definedName name="_47__123Graph_BGraphique_23G" hidden="1">#REF!</definedName>
    <definedName name="_48__123Graph_BGraphique_24G" hidden="1">#REF!</definedName>
    <definedName name="_49__123Graph_BGraphique_27H" hidden="1">#REF!</definedName>
    <definedName name="_5__123Graph_AGraphique_14D" hidden="1">#REF!</definedName>
    <definedName name="_50__123Graph_BGraphique_28I" hidden="1">#REF!</definedName>
    <definedName name="_51__123Graph_BGraphique_29I" hidden="1">#REF!</definedName>
    <definedName name="_52__123Graph_BGraphique_2A" hidden="1">#REF!</definedName>
    <definedName name="_53__123Graph_BGraphique_30I" hidden="1">#REF!</definedName>
    <definedName name="_54__123Graph_BGraphique_31J" hidden="1">#REF!</definedName>
    <definedName name="_55__123Graph_BGraphique_32J" hidden="1">#REF!</definedName>
    <definedName name="_56__123Graph_BGraphique_3A" hidden="1">#REF!</definedName>
    <definedName name="_57__123Graph_BGraphique_4A" hidden="1">#REF!</definedName>
    <definedName name="_58__123Graph_BGraphique_5B" hidden="1">#REF!</definedName>
    <definedName name="_59__123Graph_BGraphique_6B" hidden="1">#REF!</definedName>
    <definedName name="_6__123Graph_AGraphique_15D" hidden="1">#REF!</definedName>
    <definedName name="_60__123Graph_BGraphique_7B" hidden="1">#REF!</definedName>
    <definedName name="_61__123Graph_BGraphique_8B" hidden="1">#REF!</definedName>
    <definedName name="_62__123Graph_BGraphique_9C" hidden="1">#REF!</definedName>
    <definedName name="_63__123Graph_XGraphique_10C" hidden="1">#REF!</definedName>
    <definedName name="_64__123Graph_XGraphique_11C" hidden="1">#REF!</definedName>
    <definedName name="_65__123Graph_XGraphique_12C" hidden="1">#REF!</definedName>
    <definedName name="_66__123Graph_XGraphique_14D" hidden="1">#REF!</definedName>
    <definedName name="_67__123Graph_XGraphique_15D" hidden="1">#REF!</definedName>
    <definedName name="_68__123Graph_XGraphique_16D" hidden="1">#REF!</definedName>
    <definedName name="_69__123Graph_XGraphique_18E" hidden="1">#REF!</definedName>
    <definedName name="_7__123Graph_AGraphique_16D" hidden="1">#REF!</definedName>
    <definedName name="_70__123Graph_XGraphique_19E" hidden="1">#REF!</definedName>
    <definedName name="_71__123Graph_XGraphique_1A" hidden="1">#REF!</definedName>
    <definedName name="_72__123Graph_XGraphique_20E" hidden="1">#REF!</definedName>
    <definedName name="_73__123Graph_XGraphique_22G" hidden="1">#REF!</definedName>
    <definedName name="_74__123Graph_XGraphique_23G" hidden="1">#REF!</definedName>
    <definedName name="_75__123Graph_XGraphique_24G" hidden="1">#REF!</definedName>
    <definedName name="_76__123Graph_XGraphique_26H" hidden="1">#REF!</definedName>
    <definedName name="_77__123Graph_XGraphique_27H" hidden="1">#REF!</definedName>
    <definedName name="_78__123Graph_XGraphique_2A" hidden="1">#REF!</definedName>
    <definedName name="_79__123Graph_XGraphique_32J" hidden="1">#REF!</definedName>
    <definedName name="_8__123Graph_AGraphique_17E" hidden="1">#REF!</definedName>
    <definedName name="_80__123Graph_XGraphique_3A" hidden="1">#REF!</definedName>
    <definedName name="_81__123Graph_XGraphique_4A" hidden="1">#REF!</definedName>
    <definedName name="_82__123Graph_XGraphique_6B" hidden="1">#REF!</definedName>
    <definedName name="_83__123Graph_XGraphique_7B" hidden="1">#REF!</definedName>
    <definedName name="_84__123Graph_XGraphique_8B" hidden="1">#REF!</definedName>
    <definedName name="_9__123Graph_AGraphique_18E" hidden="1">#REF!</definedName>
    <definedName name="_both">#REF!</definedName>
    <definedName name="_D2" hidden="1">#REF!</definedName>
    <definedName name="_Dec08" hidden="1">{"sum",#N/A,FALSE,"Summary";"admin1",#N/A,FALSE,"Admin";"admin2",#N/A,FALSE,"Admin";"admin3",#N/A,FALSE,"Admin";"nat",#N/A,FALSE,"Natugo";"irri1",#N/A,FALSE,"Irrigation";"irri2",#N/A,FALSE,"Irrigation";"oil1",#N/A,FALSE,"Press and Sesame";"oil2",#N/A,FALSE,"Press and Sesame";"stove1",#N/A,FALSE,"Stove";"stove2",#N/A,FALSE,"Stove"}</definedName>
    <definedName name="_exp1">#REF!</definedName>
    <definedName name="_exp10">#REF!</definedName>
    <definedName name="_exp11">#REF!</definedName>
    <definedName name="_exp12">#REF!</definedName>
    <definedName name="_exp13">#REF!</definedName>
    <definedName name="_exp14">#REF!</definedName>
    <definedName name="_exp15">#REF!</definedName>
    <definedName name="_exp16">#REF!</definedName>
    <definedName name="_exp17">#REF!</definedName>
    <definedName name="_exp18">#REF!</definedName>
    <definedName name="_exp19">#REF!</definedName>
    <definedName name="_exp2">#REF!</definedName>
    <definedName name="_exp20">#REF!</definedName>
    <definedName name="_exp3">#REF!</definedName>
    <definedName name="_exp4">#REF!</definedName>
    <definedName name="_exp5">#REF!</definedName>
    <definedName name="_exp6">#REF!</definedName>
    <definedName name="_exp7">#REF!</definedName>
    <definedName name="_exp8">#REF!</definedName>
    <definedName name="_exp9">#REF!</definedName>
    <definedName name="_Fill" hidden="1">#REF!</definedName>
    <definedName name="_fwa02" hidden="1">#REF!</definedName>
    <definedName name="_IN1" hidden="1">{#N/A,#N/A,FALSE," VAS";#N/A,#N/A,FALSE,"IS";#N/A,#N/A,FALSE,"B&amp;A";#N/A,#N/A,FALSE,"DAssets";#N/A,#N/A,FALSE,"ccare";#N/A,#N/A,FALSE,"ITitems";#N/A,#N/A,FALSE,"Power";#N/A,#N/A,FALSE,"Furniture";#N/A,#N/A,FALSE,"Vehicles";#N/A,#N/A,FALSE,"B. Improv"}</definedName>
    <definedName name="_Jan09" hidden="1">{"sum",#N/A,FALSE,"Summary";"admin1",#N/A,FALSE,"Admin";"admin2",#N/A,FALSE,"Admin";"admin3",#N/A,FALSE,"Admin";"nat",#N/A,FALSE,"Natugo";"irri1",#N/A,FALSE,"Irrigation";"irri2",#N/A,FALSE,"Irrigation";"oil1",#N/A,FALSE,"Press and Sesame";"oil2",#N/A,FALSE,"Press and Sesame";"stove1",#N/A,FALSE,"Stove";"stove2",#N/A,FALSE,"Stove"}</definedName>
    <definedName name="_Jul08" hidden="1">{"sum",#N/A,FALSE,"Summary";"admin1",#N/A,FALSE,"Admin";"admin2",#N/A,FALSE,"Admin";"admin3",#N/A,FALSE,"Admin";"nat",#N/A,FALSE,"Natugo";"irri1",#N/A,FALSE,"Irrigation";"irri2",#N/A,FALSE,"Irrigation";"oil1",#N/A,FALSE,"Press and Sesame";"oil2",#N/A,FALSE,"Press and Sesame";"stove1",#N/A,FALSE,"Stove";"stove2",#N/A,FALSE,"Stove"}</definedName>
    <definedName name="_Jun1" hidden="1">{"sum",#N/A,FALSE,"Summary";"admin1",#N/A,FALSE,"Admin";"admin2",#N/A,FALSE,"Admin";"admin3",#N/A,FALSE,"Admin";"nat",#N/A,FALSE,"Natugo";"irri1",#N/A,FALSE,"Irrigation";"irri2",#N/A,FALSE,"Irrigation";"oil1",#N/A,FALSE,"Press and Sesame";"oil2",#N/A,FALSE,"Press and Sesame";"stove1",#N/A,FALSE,"Stove";"stove2",#N/A,FALSE,"Stove"}</definedName>
    <definedName name="_key" hidden="1">#REF!</definedName>
    <definedName name="_Key1" hidden="1">#REF!</definedName>
    <definedName name="_Key2" hidden="1">#REF!</definedName>
    <definedName name="_LIO2" hidden="1">{#N/A,#N/A,FALSE," VAS";#N/A,#N/A,FALSE,"IS";#N/A,#N/A,FALSE,"B&amp;A";#N/A,#N/A,FALSE,"DAssets";#N/A,#N/A,FALSE,"ccare";#N/A,#N/A,FALSE,"ITitems";#N/A,#N/A,FALSE,"Power";#N/A,#N/A,FALSE,"Furniture";#N/A,#N/A,FALSE,"Vehicles";#N/A,#N/A,FALSE,"B. Improv"}</definedName>
    <definedName name="_loe1">#REF!</definedName>
    <definedName name="_nat1">#REF!</definedName>
    <definedName name="_nat10">#REF!</definedName>
    <definedName name="_nat11">#REF!</definedName>
    <definedName name="_nat12">#REF!</definedName>
    <definedName name="_nat13">#REF!</definedName>
    <definedName name="_nat14">#REF!</definedName>
    <definedName name="_nat15">#REF!</definedName>
    <definedName name="_nat16">#REF!</definedName>
    <definedName name="_nat17">#REF!</definedName>
    <definedName name="_nat18">#REF!</definedName>
    <definedName name="_nat19">#REF!</definedName>
    <definedName name="_nat2">#REF!</definedName>
    <definedName name="_nat20">#REF!</definedName>
    <definedName name="_nat21">#REF!</definedName>
    <definedName name="_nat22">#REF!</definedName>
    <definedName name="_nat23">#REF!</definedName>
    <definedName name="_nat24">#REF!</definedName>
    <definedName name="_nat25">#REF!</definedName>
    <definedName name="_nat26">#REF!</definedName>
    <definedName name="_nat27">#REF!</definedName>
    <definedName name="_nat28">#REF!</definedName>
    <definedName name="_nat29">#REF!</definedName>
    <definedName name="_nat3">#REF!</definedName>
    <definedName name="_nat30">#REF!</definedName>
    <definedName name="_nat4">#REF!</definedName>
    <definedName name="_nat5">#REF!</definedName>
    <definedName name="_nat6">#REF!</definedName>
    <definedName name="_nat7">#REF!</definedName>
    <definedName name="_nat8">#REF!</definedName>
    <definedName name="_nat9">#REF!</definedName>
    <definedName name="_ob1">#REF!</definedName>
    <definedName name="_ob2">#REF!</definedName>
    <definedName name="_ob3">#REF!</definedName>
    <definedName name="_Order1" hidden="1">0</definedName>
    <definedName name="_Order2" hidden="1">0</definedName>
    <definedName name="_pa3" localSheetId="1">#REF!</definedName>
    <definedName name="_pa3">#REF!</definedName>
    <definedName name="_pa4">#REF!</definedName>
    <definedName name="_pos1">#REF!</definedName>
    <definedName name="_pos10">#REF!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19">#REF!</definedName>
    <definedName name="_pos2">#REF!</definedName>
    <definedName name="_pos20">#REF!</definedName>
    <definedName name="_pos3">#REF!</definedName>
    <definedName name="_pos4">#REF!</definedName>
    <definedName name="_pos5">#REF!</definedName>
    <definedName name="_pos6">#REF!</definedName>
    <definedName name="_pos7">#REF!</definedName>
    <definedName name="_pos8">#REF!</definedName>
    <definedName name="_pos9">#REF!</definedName>
    <definedName name="_rfa1" hidden="1">{"Yr1",#N/A,FALSE,"Budget Detail";"Yr2",#N/A,FALSE,"Budget Detail";"Yr3",#N/A,FALSE,"Budget Detail";"Yr4",#N/A,FALSE,"Budget Detail";"Yr5",#N/A,FALSE,"Budget Detail";"Total",#N/A,FALSE,"Budget Detail"}</definedName>
    <definedName name="_sal1">#REF!</definedName>
    <definedName name="_sal10">#REF!</definedName>
    <definedName name="_sal11">#REF!</definedName>
    <definedName name="_sal12">#REF!</definedName>
    <definedName name="_sal13">#REF!</definedName>
    <definedName name="_sal14">#REF!</definedName>
    <definedName name="_sal15">#REF!</definedName>
    <definedName name="_sal16">#REF!</definedName>
    <definedName name="_sal17">#REF!</definedName>
    <definedName name="_sal18">#REF!</definedName>
    <definedName name="_sal19">#REF!</definedName>
    <definedName name="_sal2">#REF!</definedName>
    <definedName name="_sal20">#REF!</definedName>
    <definedName name="_sal21">#REF!</definedName>
    <definedName name="_sal22">#REF!</definedName>
    <definedName name="_sal23">#REF!</definedName>
    <definedName name="_sal24">#REF!</definedName>
    <definedName name="_sal25">#REF!</definedName>
    <definedName name="_sal26">#REF!</definedName>
    <definedName name="_sal27">#REF!</definedName>
    <definedName name="_sal28">#REF!</definedName>
    <definedName name="_sal29">#REF!</definedName>
    <definedName name="_sal3">#REF!</definedName>
    <definedName name="_sal30">#REF!</definedName>
    <definedName name="_sal31">#REF!</definedName>
    <definedName name="_sal32">#REF!</definedName>
    <definedName name="_sal33">#REF!</definedName>
    <definedName name="_sal34">#REF!</definedName>
    <definedName name="_sal35">#REF!</definedName>
    <definedName name="_sal36">#REF!</definedName>
    <definedName name="_sal37">#REF!</definedName>
    <definedName name="_sal38">#REF!</definedName>
    <definedName name="_sal39">#REF!</definedName>
    <definedName name="_sal4">#REF!</definedName>
    <definedName name="_sal40">#REF!</definedName>
    <definedName name="_sal41">#REF!</definedName>
    <definedName name="_sal42">#REF!</definedName>
    <definedName name="_sal43">#REF!</definedName>
    <definedName name="_sal44">#REF!</definedName>
    <definedName name="_sal45">#REF!</definedName>
    <definedName name="_sal46">#REF!</definedName>
    <definedName name="_sal47">#REF!</definedName>
    <definedName name="_sal48">#REF!</definedName>
    <definedName name="_sal49">#REF!</definedName>
    <definedName name="_sal5">#REF!</definedName>
    <definedName name="_sal50">#REF!</definedName>
    <definedName name="_sal51">#REF!</definedName>
    <definedName name="_sal52">#REF!</definedName>
    <definedName name="_sal53">#REF!</definedName>
    <definedName name="_sal54">#REF!</definedName>
    <definedName name="_sal55">#REF!</definedName>
    <definedName name="_sal56">#REF!</definedName>
    <definedName name="_sal57">#REF!</definedName>
    <definedName name="_sal58">#REF!</definedName>
    <definedName name="_sal59">#REF!</definedName>
    <definedName name="_sal6">#REF!</definedName>
    <definedName name="_sal60">#REF!</definedName>
    <definedName name="_sal61">#REF!</definedName>
    <definedName name="_sal62">#REF!</definedName>
    <definedName name="_sal63">#REF!</definedName>
    <definedName name="_sal64">#REF!</definedName>
    <definedName name="_sal65">#REF!</definedName>
    <definedName name="_sal66">#REF!</definedName>
    <definedName name="_sal67">#REF!</definedName>
    <definedName name="_sal68">#REF!</definedName>
    <definedName name="_sal69">#REF!</definedName>
    <definedName name="_sal7">#REF!</definedName>
    <definedName name="_sal70">#REF!</definedName>
    <definedName name="_sal8">#REF!</definedName>
    <definedName name="_sal9">#REF!</definedName>
    <definedName name="_Sep08" hidden="1">{"sum",#N/A,FALSE,"Summary";"admin1",#N/A,FALSE,"Admin";"admin2",#N/A,FALSE,"Admin";"admin3",#N/A,FALSE,"Admin";"nat",#N/A,FALSE,"Natugo";"irri1",#N/A,FALSE,"Irrigation";"irri2",#N/A,FALSE,"Irrigation";"oil1",#N/A,FALSE,"Press and Sesame";"oil2",#N/A,FALSE,"Press and Sesame";"stove1",#N/A,FALSE,"Stove";"stove2",#N/A,FALSE,"Stove"}</definedName>
    <definedName name="_sep09" hidden="1">{"sum",#N/A,FALSE,"Summary";"admin1",#N/A,FALSE,"Admin";"admin2",#N/A,FALSE,"Admin";"admin3",#N/A,FALSE,"Admin";"nat",#N/A,FALSE,"Natugo";"irri1",#N/A,FALSE,"Irrigation";"irri2",#N/A,FALSE,"Irrigation";"oil1",#N/A,FALSE,"Press and Sesame";"oil2",#N/A,FALSE,"Press and Sesame";"stove1",#N/A,FALSE,"Stove";"stove2",#N/A,FALSE,"Stove"}</definedName>
    <definedName name="_Sort" hidden="1">#REF!</definedName>
    <definedName name="_sort1" hidden="1">#REF!</definedName>
    <definedName name="_sort2" hidden="1">#REF!</definedName>
    <definedName name="_us1">#REF!</definedName>
    <definedName name="_YR1">#REF!</definedName>
    <definedName name="_YR2">#REF!</definedName>
    <definedName name="²">#REF!</definedName>
    <definedName name="a" hidden="1">#REF!</definedName>
    <definedName name="aa" hidden="1">{#N/A,#N/A,FALSE,"Aging Summary";#N/A,#N/A,FALSE,"Ratio Analysis";#N/A,#N/A,FALSE,"Test 120 Day Accts";#N/A,#N/A,FALSE,"Tickmarks"}</definedName>
    <definedName name="aaa" hidden="1">{"10yp profit and loss",#N/A,FALSE,"Celtel alternative 6"}</definedName>
    <definedName name="aaaa" hidden="1">{"10yp profit and loss",#N/A,FALSE,"Celtel alternative 6"}</definedName>
    <definedName name="aaaaa" hidden="1">{#N/A,#N/A,FALSE," VAS";#N/A,#N/A,FALSE,"IS";#N/A,#N/A,FALSE,"B&amp;A";#N/A,#N/A,FALSE,"DAssets";#N/A,#N/A,FALSE,"ccare";#N/A,#N/A,FALSE,"ITitems";#N/A,#N/A,FALSE,"Power";#N/A,#N/A,FALSE,"Furniture";#N/A,#N/A,FALSE,"Vehicles";#N/A,#N/A,FALSE,"B. Improv"}</definedName>
    <definedName name="abel">#REF!</definedName>
    <definedName name="AccessDatabase" hidden="1">"C:\MSOffice\Excel\Payroll.mdb"</definedName>
    <definedName name="Activity_Class" localSheetId="1">[3]Lists!$A$3:$A$8</definedName>
    <definedName name="Activity_Class">[4]Lists!$A$3:$A$8</definedName>
    <definedName name="Activity_Class_100" localSheetId="1">[5]Lists!$C$2:$C$9</definedName>
    <definedName name="Activity_Class_100">[6]Lists!$C$2:$C$9</definedName>
    <definedName name="Activity_Description" localSheetId="1">[3]Lists!$B$3:$B$44</definedName>
    <definedName name="Activity_Description">[4]Lists!$B$3:$B$44</definedName>
    <definedName name="Activity_Description_100" localSheetId="1">[5]Lists!$D$2:$D$51</definedName>
    <definedName name="Activity_Description_100">[6]Lists!$D$2:$D$51</definedName>
    <definedName name="Activity_Type" localSheetId="1">[3]Lists!$C$3:$C$17</definedName>
    <definedName name="Activity_Type">[4]Lists!$C$3:$C$17</definedName>
    <definedName name="Activity_Type_100" localSheetId="1">[5]Lists!$E$2:$E$15</definedName>
    <definedName name="Activity_Type_100">[6]Lists!$E$2:$E$15</definedName>
    <definedName name="ADA_Clusters">'[7]ADA Detail'!$E$14</definedName>
    <definedName name="ADA_Coordinators">'[7]ADA Detail'!$F$14</definedName>
    <definedName name="ADA_Schools">'[7]ADA Detail'!$D$14</definedName>
    <definedName name="ade">#REF!</definedName>
    <definedName name="adel">#REF!</definedName>
    <definedName name="adminfee">'[8]Range Page'!$A$34</definedName>
    <definedName name="Annual_Inflation_Rate">#REF!</definedName>
    <definedName name="anscount" hidden="1">6</definedName>
    <definedName name="app" hidden="1">{"10yp capex",#N/A,FALSE,"Celtel alternative 6"}</definedName>
    <definedName name="Appendix" hidden="1">{"10yp graphs",#N/A,FALSE,"Market Data"}</definedName>
    <definedName name="Apr" hidden="1">{"sum",#N/A,FALSE,"Summary";"admin1",#N/A,FALSE,"Admin";"admin2",#N/A,FALSE,"Admin";"admin3",#N/A,FALSE,"Admin";"nat",#N/A,FALSE,"Natugo";"irri1",#N/A,FALSE,"Irrigation";"irri2",#N/A,FALSE,"Irrigation";"oil1",#N/A,FALSE,"Press and Sesame";"oil2",#N/A,FALSE,"Press and Sesame";"stove1",#N/A,FALSE,"Stove";"stove2",#N/A,FALSE,"Stove"}</definedName>
    <definedName name="arf" hidden="1">{"all",#N/A,FALSE,"Vs LE";"ALL",#N/A,FALSE,"Summary"}</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UDtoGBP">1.72</definedName>
    <definedName name="Aug" hidden="1">{"sum",#N/A,FALSE,"Summary";"admin1",#N/A,FALSE,"Admin";"admin2",#N/A,FALSE,"Admin";"admin3",#N/A,FALSE,"Admin";"nat",#N/A,FALSE,"Natugo";"irri1",#N/A,FALSE,"Irrigation";"irri2",#N/A,FALSE,"Irrigation";"oil1",#N/A,FALSE,"Press and Sesame";"oil2",#N/A,FALSE,"Press and Sesame";"stove1",#N/A,FALSE,"Stove";"stove2",#N/A,FALSE,"Stove"}</definedName>
    <definedName name="baba" localSheetId="1">#REF!</definedName>
    <definedName name="baba">#REF!</definedName>
    <definedName name="bank">#REF!</definedName>
    <definedName name="benefits" localSheetId="1">[9]Sheet1!$J$6:$R$11</definedName>
    <definedName name="benefits">[10]Sheet1!$J$6:$R$11</definedName>
    <definedName name="benson"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G_Del" hidden="1">15</definedName>
    <definedName name="BG_Ins" hidden="1">4</definedName>
    <definedName name="BG_Mod" hidden="1">6</definedName>
    <definedName name="blu">{"Yes","No"}</definedName>
    <definedName name="Both">#REF!</definedName>
    <definedName name="budgetcodes">#REF!</definedName>
    <definedName name="BudgetDirectTotal">#REF!</definedName>
    <definedName name="BudgetGrandTotal">#REF!</definedName>
    <definedName name="BudgetOHDirect">#REF!</definedName>
    <definedName name="BudgetOHInstitute">#REF!</definedName>
    <definedName name="BudgetOHSubs">#REF!</definedName>
    <definedName name="BudgetOHTotal">#REF!</definedName>
    <definedName name="BudgetPeriod" localSheetId="1">[11]Inputs!$B$6</definedName>
    <definedName name="BudgetPeriod">[12]Inputs!$B$6</definedName>
    <definedName name="BudgetSubsTotal">#REF!</definedName>
    <definedName name="BudgetTotal">#REF!</definedName>
    <definedName name="BudgetYear" localSheetId="1">#REF!</definedName>
    <definedName name="BudgetYear">#REF!</definedName>
    <definedName name="budnite" hidden="1">{"10yp profit and loss",#N/A,FALSE,"Celtel alternative 6"}</definedName>
    <definedName name="carlos"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tegories">#REF!</definedName>
    <definedName name="CategoriesExpense">{"room &amp; board";"tuition &amp; fees";"books &amp; supplies";"transportation";"discretionary";"other expenses"}</definedName>
    <definedName name="CategoriesExpense_1">{"room &amp; board";"tuition &amp; fees";"books &amp; supplies";"transportation";"discretionary";"other expenses"}</definedName>
    <definedName name="CategoriesExpense_2">{"room &amp; board";"tuition &amp; fees";"books &amp; supplies";"transportation";"discretionary";"other expenses"}</definedName>
    <definedName name="CategoriesExpense_3">{"room &amp; board";"tuition &amp; fees";"books &amp; supplies";"transportation";"discretionary";"other expenses"}</definedName>
    <definedName name="CategoriesExpense_4">{"room &amp; board";"tuition &amp; fees";"books &amp; supplies";"transportation";"discretionary";"other expenses"}</definedName>
    <definedName name="CategoriesExpense_5">{"room &amp; board";"tuition &amp; fees";"books &amp; supplies";"transportation";"discretionary";"other expenses"}</definedName>
    <definedName name="CategoriesIncome">{"financial aid";"wages (after-tax)";"family help";"from savings";"other"}</definedName>
    <definedName name="CategoriesIncome_1">{"financial aid";"wages (after-tax)";"family help";"from savings";"other"}</definedName>
    <definedName name="CategoriesIncome_2">{"financial aid";"wages (after-tax)";"family help";"from savings";"other"}</definedName>
    <definedName name="CategoriesIncome_3">{"financial aid";"wages (after-tax)";"family help";"from savings";"other"}</definedName>
    <definedName name="CategoriesIncome_4">{"financial aid";"wages (after-tax)";"family help";"from savings";"other"}</definedName>
    <definedName name="CategoriesIncome_5">{"financial aid";"wages (after-tax)";"family help";"from savings";"other"}</definedName>
    <definedName name="cc" hidden="1">{"10yp key data",#N/A,FALSE,"Market Data"}</definedName>
    <definedName name="CCCC" hidden="1">{"10yp profit and loss",#N/A,FALSE,"Celtel alternative 6"}</definedName>
    <definedName name="ccccc" hidden="1">{"10yp key data",#N/A,FALSE,"Market Data"}</definedName>
    <definedName name="cccccccc" hidden="1">{#N/A,#N/A,FALSE,"TB-VAS";#N/A,#N/A,FALSE,"TB-IS";#N/A,#N/A,FALSE,"TB-billing";#N/A,#N/A,FALSE,"TB-Distrbn";#N/A,#N/A,FALSE,"Tb-ccare";#N/A,#N/A,FALSE,"TB-IT";#N/A,#N/A,FALSE,"TB-Power";#N/A,#N/A,FALSE,"TB-F&amp;E";#N/A,#N/A,FALSE,"TB-MV";#N/A,#N/A,FALSE,"TB-L.imprv"}</definedName>
    <definedName name="cd" hidden="1">#REF!</definedName>
    <definedName name="cgcgc" hidden="1">{"CACOST95",#N/A,FALSE,"CACOST_1000";"CA95REPORT",#N/A,FALSE,"CACOST_1000"}</definedName>
    <definedName name="Closeout_Actual_MV">'[13]Project Total'!$DU$89:$EH$112</definedName>
    <definedName name="Closeout_Forecast_MV">'[13]Project Total'!$GE$89:$GR$112</definedName>
    <definedName name="Closeout_Month">[13]Notes!$L$2:$L$15</definedName>
    <definedName name="CMA_KENTZOU">'[14]Drop Down Lists'!#REF!</definedName>
    <definedName name="COA_Map">#REF!</definedName>
    <definedName name="Code">#N/A</definedName>
    <definedName name="Cojummbaiake" localSheetId="1">#REF!</definedName>
    <definedName name="Cojummbaiake">#REF!</definedName>
    <definedName name="Condition">#REF!</definedName>
    <definedName name="Construction">#REF!</definedName>
    <definedName name="Contractual">#REF!</definedName>
    <definedName name="COP_Cycle" localSheetId="1">#REF!</definedName>
    <definedName name="COP_Cycle">[4]Lists!#REF!</definedName>
    <definedName name="COP_CYCLE_100" localSheetId="1">[5]Lists!$B$2:$B$7</definedName>
    <definedName name="COP_CYCLE_100">[6]Lists!$B$2:$B$7</definedName>
    <definedName name="COPBudgetCodedata" localSheetId="1">#REF!</definedName>
    <definedName name="COPBudgetCodedata">[15]!COPBudgetCodes[BudgetCodes]</definedName>
    <definedName name="COPFunctionalAreadata" localSheetId="1">#REF!</definedName>
    <definedName name="COPFunctionalAreadata">[15]!COPFunctionalArea[Functional Area]</definedName>
    <definedName name="CORENYPT" localSheetId="1">#REF!</definedName>
    <definedName name="CORENYPT">#REF!</definedName>
    <definedName name="cost">#REF!</definedName>
    <definedName name="Cost_Category" localSheetId="1">[3]Lists!$D$3:$D$13</definedName>
    <definedName name="Cost_Category">[4]Lists!$D$3:$D$13</definedName>
    <definedName name="Cost_Category_100" localSheetId="1">[5]Lists!$F$2:$F$13</definedName>
    <definedName name="Cost_Category_100">[6]Lists!$F$2:$F$13</definedName>
    <definedName name="CostCentre">#REF!</definedName>
    <definedName name="CostInput">OFFSET('[14]Data Sheet'!$F$199,1,0,MATCH(" ",'[14]Data Sheet'!$F$199:$F$276,-1)-1,1)</definedName>
    <definedName name="Country" localSheetId="1">#REF!</definedName>
    <definedName name="Country">[4]Lists!#REF!</definedName>
    <definedName name="Country_100" localSheetId="1">[5]Lists!$A$2:$A$21</definedName>
    <definedName name="Country_100">[6]Lists!$A$2:$A$21</definedName>
    <definedName name="Country_Inflation">[16]Detail!#REF!</definedName>
    <definedName name="Country1" localSheetId="1">#REF!</definedName>
    <definedName name="Country1">#REF!</definedName>
    <definedName name="CPA_Rate" localSheetId="1">#REF!</definedName>
    <definedName name="CPA_Rate">#REF!</definedName>
    <definedName name="Currencies">[14]Setup!$C$30:$C$41</definedName>
    <definedName name="CVB" hidden="1">{"10yp customers",#N/A,FALSE,"Celtel alternative 6"}</definedName>
    <definedName name="dad">#REF!</definedName>
    <definedName name="Danger">#REF!</definedName>
    <definedName name="dangerpay">'[8]Range Page'!$A$18</definedName>
    <definedName name="dangerpay.intlstaff2">'[8]Range Page'!$A$19</definedName>
    <definedName name="dangerpay.intlstaff3">'[8]Range Page'!$A$20</definedName>
    <definedName name="dangerpay.intlstaff4">'[8]Range Page'!$A$21</definedName>
    <definedName name="dangerpay.researcher">'[8]Range Page'!$A$22</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vid">#REF!</definedName>
    <definedName name="dba">'[8]Range Page'!$A$31</definedName>
    <definedName name="dd" hidden="1">{"CACOST95",#N/A,FALSE,"CACOST_1000";"CA95REPORT",#N/A,FALSE,"CACOST_1000"}</definedName>
    <definedName name="DDDD" hidden="1">{"budget992000 tariff and usage",#N/A,FALSE,"Celtel alternative 6"}</definedName>
    <definedName name="ddddd" hidden="1">{#N/A,#N/A,FALSE," VAS";#N/A,#N/A,FALSE,"IS";#N/A,#N/A,FALSE,"B&amp;A";#N/A,#N/A,FALSE,"DAssets";#N/A,#N/A,FALSE,"ccare";#N/A,#N/A,FALSE,"ITitems";#N/A,#N/A,FALSE,"Power";#N/A,#N/A,FALSE,"Furniture";#N/A,#N/A,FALSE,"Vehicles";#N/A,#N/A,FALSE,"B. Improv"}</definedName>
    <definedName name="dddddd" hidden="1">{"10yp profit and loss",#N/A,FALSE,"Celtel alternative 6"}</definedName>
    <definedName name="Dec" hidden="1">{"sum",#N/A,FALSE,"Summary";"admin1",#N/A,FALSE,"Admin";"admin2",#N/A,FALSE,"Admin";"admin3",#N/A,FALSE,"Admin";"nat",#N/A,FALSE,"Natugo";"irri1",#N/A,FALSE,"Irrigation";"irri2",#N/A,FALSE,"Irrigation";"oil1",#N/A,FALSE,"Press and Sesame";"oil2",#N/A,FALSE,"Press and Sesame";"stove1",#N/A,FALSE,"Stove";"stove2",#N/A,FALSE,"Stove"}</definedName>
    <definedName name="deed">#REF!</definedName>
    <definedName name="deep">#REF!</definedName>
    <definedName name="del">#REF!</definedName>
    <definedName name="dep">#REF!</definedName>
    <definedName name="departement">#REF!</definedName>
    <definedName name="Department">#REF!</definedName>
    <definedName name="Dependents">#REF!</definedName>
    <definedName name="DepProfile">#REF!</definedName>
    <definedName name="Detail_Tab">#REF!</definedName>
    <definedName name="details">#REF!</definedName>
    <definedName name="DF" hidden="1">{"10yp balance sheet",#N/A,FALSE,"Celtel alternative 6"}</definedName>
    <definedName name="dhdhshgee1" localSheetId="1">#REF!</definedName>
    <definedName name="dhdhshgee1">#REF!</definedName>
    <definedName name="Direct">IF([17]Cambodia!$K1048563="Direct",[17]Cambodia!$N1048563:$DB1048563)</definedName>
    <definedName name="DollarLC">'[8]Range Page'!#REF!</definedName>
    <definedName name="Domestic_Lodging" localSheetId="1">[11]Inputs!$B$26</definedName>
    <definedName name="Domestic_Lodging">[12]Inputs!$B$26</definedName>
    <definedName name="Domestic_ME_I" localSheetId="1">[11]Inputs!$B$27</definedName>
    <definedName name="Domestic_ME_I">[12]Inputs!$B$27</definedName>
    <definedName name="Domestic_Misc" localSheetId="1">[11]Inputs!$B$28</definedName>
    <definedName name="Domestic_Misc">[12]Inputs!$B$28</definedName>
    <definedName name="ec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duallowance.intlstaff1">'[8]Range Page'!$A$23</definedName>
    <definedName name="eduallowance.intlstaff2">'[8]Range Page'!$A$24</definedName>
    <definedName name="eduallowance.intlstaff3">'[8]Range Page'!$A$25</definedName>
    <definedName name="eduallowance.intlstaff4">'[8]Range Page'!$A$26</definedName>
    <definedName name="eduallowance.researcher">'[8]Range Page'!$A$27</definedName>
    <definedName name="Education">#REF!</definedName>
    <definedName name="EducationTravel">#REF!</definedName>
    <definedName name="eeeee" hidden="1">{"budget992000 tariff and usage",#N/A,FALSE,"Celtel alternative 6"}</definedName>
    <definedName name="EGPAF">#REF!</definedName>
    <definedName name="end">#REF!</definedName>
    <definedName name="EndDateReason">#REF!</definedName>
    <definedName name="EndReason">#REF!</definedName>
    <definedName name="ENG_BI_LBI" hidden="1">"MJBPICLSHH"</definedName>
    <definedName name="ENG_BI_TLA" hidden="1">"67;42;131;70;198;226;36;180;37;69;188;31;199;76;135;216;69;105;188;195;158;71;176;82;214;278;71;50;109;57;107;108"</definedName>
    <definedName name="Equipment">#REF!</definedName>
    <definedName name="ETBtoGBP">0.03437</definedName>
    <definedName name="EUGENE"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V__EVCOM_OPTIONS__" hidden="1">10</definedName>
    <definedName name="EV__LASTREFTIME__" hidden="1">39869.6521875</definedName>
    <definedName name="ExactAddinReports" hidden="1">1</definedName>
    <definedName name="exch" localSheetId="1">'[18]Other rates'!$E$20</definedName>
    <definedName name="exch">'[19]Other rates'!$E$20</definedName>
    <definedName name="Exchange">'[20]Pact Details'!$D$11</definedName>
    <definedName name="expdec08">#REF!</definedName>
    <definedName name="f" hidden="1">{"all",#N/A,FALSE,"Corporate costs";"all",#N/A,FALSE,"Corporate costs (2)"}</definedName>
    <definedName name="Facility">'[14]Drop Down Lists'!$B$2:$B$20</definedName>
    <definedName name="FacilityType">#REF!</definedName>
    <definedName name="FACTOR">#REF!</definedName>
    <definedName name="far" hidden="1">{"all",#N/A,FALSE,"Vs LE";"ALL",#N/A,FALSE,"Summary"}</definedName>
    <definedName name="Fee" localSheetId="1">#REF!</definedName>
    <definedName name="Fee">#REF!</definedName>
    <definedName name="Feries">#REF!</definedName>
    <definedName name="fff" hidden="1">{#N/A,#N/A,FALSE,"Pro forma"}</definedName>
    <definedName name="FFFF" hidden="1">{"cash plan",#N/A,FALSE,"fccashflow"}</definedName>
    <definedName name="fffff" localSheetId="1">#REF!</definedName>
    <definedName name="fffff">#REF!</definedName>
    <definedName name="ffffff" hidden="1">{"budget992000 capex",#N/A,FALSE,"Celtel alternative 6"}</definedName>
    <definedName name="FFFFFFFFFFFFFFFFF" localSheetId="1">#REF!</definedName>
    <definedName name="FFFFFFFFFFFFFFFFF">#REF!</definedName>
    <definedName name="fgfg" hidden="1">{"CACOST95",#N/A,FALSE,"CACOST_1000";"CA95REPORT",#N/A,FALSE,"CACOST_1000"}</definedName>
    <definedName name="FGH" hidden="1">{"10yp capex",#N/A,FALSE,"Celtel alternative 6"}</definedName>
    <definedName name="fgkfg" hidden="1">{"summary",#N/A,FALSE,"Sum";"sum op",#N/A,FALSE,"Sum OP";"op hy",#N/A,FALSE,"Sum OP (HY)";"sum tp",#N/A,FALSE,"Sum TP";"udv",#N/A,FALSE,"UDV";"tpc",#N/A,FALSE,"Pillsbury";"guinness",#N/A,FALSE,"Guinness";"bk",#N/A,FALSE,"BK";"fx",#N/A,FALSE,"FX";"assocs",#N/A,FALSE,"Assoc1";"assocs",#N/A,FALSE,"Assoc2"}</definedName>
    <definedName name="fh" hidden="1">#REF!</definedName>
    <definedName name="fhkhkfg" hidden="1">{"ALL",#N/A,FALSE,"Summary";"ALL",#N/A,FALSE,"Vs LE";"all",#N/A,FALSE,"Targets";"all",#N/A,FALSE,"FLASH";"print calc",#N/A,FALSE,"Calc";"all",#N/A,FALSE,"Corporate costs";"all",#N/A,FALSE,"Corporate costs (2)"}</definedName>
    <definedName name="FILENAME">#REF!</definedName>
    <definedName name="Fin">{"Yes","No"}</definedName>
    <definedName name="FirstMonth">UPPER(TEXT(StartDate,"mmm "))</definedName>
    <definedName name="FiscalYear" localSheetId="1">#REF!</definedName>
    <definedName name="FiscalYear">#REF!</definedName>
    <definedName name="fjhmkvf"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k" hidden="1">{"all",#N/A,FALSE,"Vs LE";"ALL",#N/A,FALSE,"Summary"}</definedName>
    <definedName name="ForeignTransferAllowance">'[8]Range Page'!$A$28</definedName>
    <definedName name="FR" hidden="1">{"BS Con'd",#N/A,FALSE,"BS";"BS Con'g",#N/A,FALSE,"BS"}</definedName>
    <definedName name="Fringe_Rate" localSheetId="1">#REF!</definedName>
    <definedName name="Fringe_Rate">#REF!</definedName>
    <definedName name="Fringe_Rate___Columbia" localSheetId="1">[11]Inputs!$B$14</definedName>
    <definedName name="Fringe_Rate___Columbia">[12]Inputs!$B$14</definedName>
    <definedName name="Fringe_Rate___Local" localSheetId="1">[11]Inputs!$B$15</definedName>
    <definedName name="Fringe_Rate___Local">[12]Inputs!$B$15</definedName>
    <definedName name="fringes">#REF!</definedName>
    <definedName name="FringeTable">#REF!</definedName>
    <definedName name="FullName">#REF!</definedName>
    <definedName name="FUNDER">#REF!</definedName>
    <definedName name="Furniture">#REF!</definedName>
    <definedName name="FXR" localSheetId="1">#REF!</definedName>
    <definedName name="FXR">#REF!</definedName>
    <definedName name="FY16_months" localSheetId="1">#REF!</definedName>
    <definedName name="FY16_months">#REF!</definedName>
    <definedName name="FY16_ReportingPeriods" localSheetId="1">#REF!</definedName>
    <definedName name="FY16_ReportingPeriods">#REF!</definedName>
    <definedName name="g"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A_Rate" localSheetId="1">#REF!</definedName>
    <definedName name="GA_Rate">#REF!</definedName>
    <definedName name="GandA">'[8]Range Page'!$A$4</definedName>
    <definedName name="Geographylocation">[14]Setup!$A$73:$A$91</definedName>
    <definedName name="gffdg" hidden="1">{"all",#N/A,FALSE,"FLASH"}</definedName>
    <definedName name="ggggg" hidden="1">{"budget992000_customers",#N/A,FALSE,"Celtel alternative 6"}</definedName>
    <definedName name="ggggggg" hidden="1">{#N/A,#N/A,FALSE," VAS";#N/A,#N/A,FALSE,"IS";#N/A,#N/A,FALSE,"B&amp;A";#N/A,#N/A,FALSE,"DAssets";#N/A,#N/A,FALSE,"ccare";#N/A,#N/A,FALSE,"ITitems";#N/A,#N/A,FALSE,"Power";#N/A,#N/A,FALSE,"Furniture";#N/A,#N/A,FALSE,"Vehicles";#N/A,#N/A,FALSE,"B. Improv"}</definedName>
    <definedName name="GPBEXC">#REF!</definedName>
    <definedName name="h" hidden="1">{"CACOST95",#N/A,FALSE,"CACOST_1000";"CA95REPORT",#N/A,FALSE,"CACOST_1000"}</definedName>
    <definedName name="Heading">#REF!</definedName>
    <definedName name="hh" hidden="1">#REF!</definedName>
    <definedName name="HHH" hidden="1">{"Form DD",#N/A,FALSE,"DD";"EE",#N/A,FALSE,"EE";"Indirects",#N/A,FALSE,"DD"}</definedName>
    <definedName name="hhhhhhh" hidden="1">{#N/A,#N/A,FALSE,"TB-Radio";#N/A,#N/A,FALSE,"TB-switching";#N/A,#N/A,FALSE,"TB-IN";#N/A,#N/A,FALSE,"TB-Transm";#N/A,#N/A,FALSE,"TB-VAS";#N/A,#N/A,FALSE,"TB-IS";#N/A,#N/A,FALSE,"TB-billing";#N/A,#N/A,FALSE,"TB-Distrbn";#N/A,#N/A,FALSE,"Tb-ccare";#N/A,#N/A,FALSE,"TB-IT";#N/A,#N/A,FALSE,"TB-Power";#N/A,#N/A,FALSE,"TB-F&amp;E";#N/A,#N/A,FALSE,"TB-MV";#N/A,#N/A,FALSE,"TB-L.imprv"}</definedName>
    <definedName name="HLShipping">#REF!</definedName>
    <definedName name="HomeLeave">#REF!</definedName>
    <definedName name="Hospital" localSheetId="1">'[9]1. SUMMARY'!$C$14</definedName>
    <definedName name="Hospital">'[10]1. SUMMARY'!$C$14</definedName>
    <definedName name="HousingProfile">#REF!</definedName>
    <definedName name="HTML_CodePage" hidden="1">1252</definedName>
    <definedName name="HTML_Control" hidden="1">{"'CAPEX'!$E$41"}</definedName>
    <definedName name="HTML_Description" hidden="1">""</definedName>
    <definedName name="HTML_Email" hidden="1">""</definedName>
    <definedName name="HTML_Header" hidden="1">"CAPEX"</definedName>
    <definedName name="HTML_LastUpdate" hidden="1">"11/05/00"</definedName>
    <definedName name="HTML_LineAfter" hidden="1">FALSE</definedName>
    <definedName name="HTML_LineBefore" hidden="1">FALSE</definedName>
    <definedName name="HTML_Name" hidden="1">"OLUWOLE ADEDEJI OLUSI"</definedName>
    <definedName name="HTML_OBDlg2" hidden="1">TRUE</definedName>
    <definedName name="HTML_OBDlg4" hidden="1">TRUE</definedName>
    <definedName name="HTML_OS" hidden="1">0</definedName>
    <definedName name="HTML_PathFile" hidden="1">"D:\Sun425\_print\MyHTML.htm"</definedName>
    <definedName name="HTML_Title" hidden="1">"april report1"</definedName>
    <definedName name="i" hidden="1">{"BS",#N/A,FALSE,"BS";"BS trend",#N/A,FALSE,"BS";"KPI",#N/A,FALSE,"KPI";"KPI trend",#N/A,FALSE,"KPI";"CF trend",#N/A,FALSE,"CF";"CF",#N/A,FALSE,"CF";"P&amp;LC",#N/A,FALSE,"P&amp;L";"P&amp;LC trend",#N/A,FALSE,"P&amp;L";"traffic",#N/A,FALSE,"Traffic";"P&amp;LR",#N/A,FALSE,"P&amp;L";"P&amp;LR trend",#N/A,FALSE,"P&amp;L";#N/A,#N/A,FALSE,"Variance";"Debtors",#N/A,FALSE,"Deb"}</definedName>
    <definedName name="iaf">#REF!</definedName>
    <definedName name="IC___NY_P_T" localSheetId="1">[11]Inputs!$B$12</definedName>
    <definedName name="IC___NY_P_T">[12]Inputs!$B$12</definedName>
    <definedName name="IC___Offsite" localSheetId="1">[11]Inputs!$B$11</definedName>
    <definedName name="IC___Offsite">[12]Inputs!$B$11</definedName>
    <definedName name="IC___Onsite" localSheetId="1">[11]Inputs!$B$10</definedName>
    <definedName name="IC___Onsite">[12]Inputs!$B$10</definedName>
    <definedName name="Impl_Actual_MV">'[13]Project Total'!$CG$63:$DV$86</definedName>
    <definedName name="Impl_Forecast_MV">'[13]Project Total'!$EQ$63:$GF$86</definedName>
    <definedName name="Impl_Month">[13]Notes!$J$2:$J$43</definedName>
    <definedName name="_xlnm.Print_Titles">#REF!</definedName>
    <definedName name="Inc_Actual_MV">'[13]Project Total'!$BY$36:$CH$60</definedName>
    <definedName name="Inc_Forecast_MV">'[13]Project Total'!$EI$36:$ER$60</definedName>
    <definedName name="Inc_Month">[13]Notes!$H$2:$H$11</definedName>
    <definedName name="income_percent_selected_period">'[21]Monthly Budget'!#REF!</definedName>
    <definedName name="INCREASE">#REF!</definedName>
    <definedName name="Indirect_Rate" localSheetId="1">[3]Lists!$G$4:$G$5</definedName>
    <definedName name="Indirect_Rate">[4]Lists!$G$4:$G$5</definedName>
    <definedName name="Indirect_Rate_100" localSheetId="1">[5]Lists!$I$2:$I$4</definedName>
    <definedName name="Indirect_Rate_100">[6]Lists!$I$2:$I$4</definedName>
    <definedName name="Indirect_Rates" localSheetId="1">[3]Lists!$G$2:$G$4</definedName>
    <definedName name="Indirect_Rates">[4]Lists!$G$2:$G$4</definedName>
    <definedName name="IndirectRate" localSheetId="1">#REF!</definedName>
    <definedName name="IndirectRate">#REF!</definedName>
    <definedName name="inf" localSheetId="1">#REF!</definedName>
    <definedName name="inf">#REF!</definedName>
    <definedName name="Inflation">'[22]Detail-1'!$J$2</definedName>
    <definedName name="Inflation_Year_2">'[23]Detail '!$L$13</definedName>
    <definedName name="Inflation_Year_3">'[23]Detail '!$P$13</definedName>
    <definedName name="Inflation_Year_4">'[23]Detail '!$T$13</definedName>
    <definedName name="Inflation_Year_5">'[23]Detail '!$X$13</definedName>
    <definedName name="INFO_BI_EXE_NAME" hidden="1">"BICEVOLUTION.EXE"</definedName>
    <definedName name="INFO_EXE_SERVER_PATH" hidden="1">"C:\Program Files\Evolution\BICEVOLUTION.EXE"</definedName>
    <definedName name="INFO_INSTANCE_ID" hidden="1">"0"</definedName>
    <definedName name="INFO_INSTANCE_NAME" hidden="1">"Management Pack D-2-6 (Ev4)_20070605_19_20_59_2020.xls"</definedName>
    <definedName name="INFO_REPORT_CODE" hidden="1">"E4-GL01-2-6"</definedName>
    <definedName name="INFO_REPORT_ID" hidden="1">"2"</definedName>
    <definedName name="INFO_REPORT_NAME" hidden="1">"Management Pack D-2-6 (Ev4)"</definedName>
    <definedName name="INFO_RUN_USER" hidden="1">""</definedName>
    <definedName name="INFO_RUN_WORKSTATION" hidden="1">"LISA"</definedName>
    <definedName name="ini" hidden="1">{#N/A,#N/A,FALSE," VAS";#N/A,#N/A,FALSE,"IS";#N/A,#N/A,FALSE,"B&amp;A";#N/A,#N/A,FALSE,"DAssets";#N/A,#N/A,FALSE,"ccare";#N/A,#N/A,FALSE,"ITitems";#N/A,#N/A,FALSE,"Power";#N/A,#N/A,FALSE,"Furniture";#N/A,#N/A,FALSE,"Vehicles";#N/A,#N/A,FALSE,"B. Improv"}</definedName>
    <definedName name="inin" hidden="1">{#N/A,#N/A,FALSE," VAS";#N/A,#N/A,FALSE,"IS";#N/A,#N/A,FALSE,"B&amp;A";#N/A,#N/A,FALSE,"DAssets";#N/A,#N/A,FALSE,"ccare";#N/A,#N/A,FALSE,"ITitems";#N/A,#N/A,FALSE,"Power";#N/A,#N/A,FALSE,"Furniture";#N/A,#N/A,FALSE,"Vehicles";#N/A,#N/A,FALSE,"B. Improv"}</definedName>
    <definedName name="INN" hidden="1">{#N/A,#N/A,FALSE," VAS";#N/A,#N/A,FALSE,"IS";#N/A,#N/A,FALSE,"B&amp;A";#N/A,#N/A,FALSE,"DAssets";#N/A,#N/A,FALSE,"ccare";#N/A,#N/A,FALSE,"ITitems";#N/A,#N/A,FALSE,"Power";#N/A,#N/A,FALSE,"Furniture";#N/A,#N/A,FALSE,"Vehicles";#N/A,#N/A,FALSE,"B. Improv"}</definedName>
    <definedName name="Inputs_YesNo">{"Yes","No"}</definedName>
    <definedName name="InspectionType">#REF!</definedName>
    <definedName name="Institution" localSheetId="1">[9]Sheet1!$A$3:$A$5</definedName>
    <definedName name="Institution">[10]Sheet1!$A$3:$A$5</definedName>
    <definedName name="International_Lodging" localSheetId="1">[11]Inputs!$B$18</definedName>
    <definedName name="International_Lodging">[12]Inputs!$B$18</definedName>
    <definedName name="International_ME_I" localSheetId="1">[11]Inputs!$B$19</definedName>
    <definedName name="International_ME_I">[12]Inputs!$B$19</definedName>
    <definedName name="International_Misc" localSheetId="1">[11]Inputs!$B$20</definedName>
    <definedName name="International_Misc">[12]Inputs!$B$20</definedName>
    <definedName name="intl_air">#REF!</definedName>
    <definedName name="intl_airfare">#REF!</definedName>
    <definedName name="intlfringe">'[8]Range Page'!$A$5</definedName>
    <definedName name="IntroPrintArea" hidden="1">#REF!</definedName>
    <definedName name="IP_Name" localSheetId="1">#REF!</definedName>
    <definedName name="IP_Name">#REF!</definedName>
    <definedName name="IP_Names" localSheetId="1">#REF!</definedName>
    <definedName name="IP_Names">#REF!</definedName>
    <definedName name="ipd">#REF!</definedName>
    <definedName name="IPname" localSheetId="1">#REF!</definedName>
    <definedName name="IPname">#REF!</definedName>
    <definedName name="IPNames">#REF!</definedName>
    <definedName name="ISMA">#REF!</definedName>
    <definedName name="IT" hidden="1">{#N/A,#N/A,FALSE," VAS";#N/A,#N/A,FALSE,"IS";#N/A,#N/A,FALSE,"B&amp;A";#N/A,#N/A,FALSE,"DAssets";#N/A,#N/A,FALSE,"ccare";#N/A,#N/A,FALSE,"ITitems";#N/A,#N/A,FALSE,"Power";#N/A,#N/A,FALSE,"Furniture";#N/A,#N/A,FALSE,"Vehicles";#N/A,#N/A,FALSE,"B. Improv"}</definedName>
    <definedName name="j"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Jan" hidden="1">{"sum",#N/A,FALSE,"Summary";"admin1",#N/A,FALSE,"Admin";"admin2",#N/A,FALSE,"Admin";"admin3",#N/A,FALSE,"Admin";"nat",#N/A,FALSE,"Natugo";"irri1",#N/A,FALSE,"Irrigation";"irri2",#N/A,FALSE,"Irrigation";"oil1",#N/A,FALSE,"Press and Sesame";"oil2",#N/A,FALSE,"Press and Sesame";"stove1",#N/A,FALSE,"Stove";"stove2",#N/A,FALSE,"Stove"}</definedName>
    <definedName name="January" hidden="1">{"sum",#N/A,FALSE,"Summary";"admin1",#N/A,FALSE,"Admin";"admin2",#N/A,FALSE,"Admin";"admin3",#N/A,FALSE,"Admin";"nat",#N/A,FALSE,"Natugo";"irri1",#N/A,FALSE,"Irrigation";"irri2",#N/A,FALSE,"Irrigation";"oil1",#N/A,FALSE,"Press and Sesame";"oil2",#N/A,FALSE,"Press and Sesame";"stove1",#N/A,FALSE,"Stove";"stove2",#N/A,FALSE,"Stove"}</definedName>
    <definedName name="jfgfgj" hidden="1">{"sum op",#N/A,FALSE,"Sum OP";"op hy",#N/A,FALSE,"Sum OP (HY)";"sum tp",#N/A,FALSE,"Sum TP"}</definedName>
    <definedName name="jfgjfgj" hidden="1">{"sum op",#N/A,FALSE,"Sum OP";"op hy",#N/A,FALSE,"Sum OP (HY)";"sum tp",#N/A,FALSE,"Sum TP"}</definedName>
    <definedName name="jj" hidden="1">{"'CAPEX'!$E$41"}</definedName>
    <definedName name="JJLJL">#REF!</definedName>
    <definedName name="jkk" hidden="1">{"summary",#N/A,FALSE,"Sum";"sum op",#N/A,FALSE,"Sum OP";"op hy",#N/A,FALSE,"Sum OP (HY)";"sum tp",#N/A,FALSE,"Sum TP";"udv",#N/A,FALSE,"UDV";"tpc",#N/A,FALSE,"Pillsbury";"guinness",#N/A,FALSE,"Guinness";"bk",#N/A,FALSE,"BK";"fx",#N/A,FALSE,"FX";"assocs",#N/A,FALSE,"Assoc1";"assocs",#N/A,FALSE,"Assoc2"}</definedName>
    <definedName name="job">#REF!</definedName>
    <definedName name="Jul" hidden="1">{"sum",#N/A,FALSE,"Summary";"admin1",#N/A,FALSE,"Admin";"admin2",#N/A,FALSE,"Admin";"admin3",#N/A,FALSE,"Admin";"nat",#N/A,FALSE,"Natugo";"irri1",#N/A,FALSE,"Irrigation";"irri2",#N/A,FALSE,"Irrigation";"oil1",#N/A,FALSE,"Press and Sesame";"oil2",#N/A,FALSE,"Press and Sesame";"stove1",#N/A,FALSE,"Stove";"stove2",#N/A,FALSE,"Stove"}</definedName>
    <definedName name="July22" hidden="1">{#N/A,#N/A,FALSE,"FY99";#N/A,#N/A,FALSE,"FY00"}</definedName>
    <definedName name="Jun" hidden="1">{"sum",#N/A,FALSE,"Summary";"admin1",#N/A,FALSE,"Admin";"admin2",#N/A,FALSE,"Admin";"admin3",#N/A,FALSE,"Admin";"nat",#N/A,FALSE,"Natugo";"irri1",#N/A,FALSE,"Irrigation";"irri2",#N/A,FALSE,"Irrigation";"oil1",#N/A,FALSE,"Press and Sesame";"oil2",#N/A,FALSE,"Press and Sesame";"stove1",#N/A,FALSE,"Stove";"stove2",#N/A,FALSE,"Stove"}</definedName>
    <definedName name="June" hidden="1">{"sum",#N/A,FALSE,"Summary";"admin1",#N/A,FALSE,"Admin";"admin2",#N/A,FALSE,"Admin";"admin3",#N/A,FALSE,"Admin";"nat",#N/A,FALSE,"Natugo";"irri1",#N/A,FALSE,"Irrigation";"irri2",#N/A,FALSE,"Irrigation";"oil1",#N/A,FALSE,"Press and Sesame";"oil2",#N/A,FALSE,"Press and Sesame";"stove1",#N/A,FALSE,"Stove";"stove2",#N/A,FALSE,"Stove"}</definedName>
    <definedName name="June1" hidden="1">{"sum",#N/A,FALSE,"Summary";"admin1",#N/A,FALSE,"Admin";"admin2",#N/A,FALSE,"Admin";"admin3",#N/A,FALSE,"Admin";"nat",#N/A,FALSE,"Natugo";"irri1",#N/A,FALSE,"Irrigation";"irri2",#N/A,FALSE,"Irrigation";"oil1",#N/A,FALSE,"Press and Sesame";"oil2",#N/A,FALSE,"Press and Sesame";"stove1",#N/A,FALSE,"Stove";"stove2",#N/A,FALSE,"Stove"}</definedName>
    <definedName name="k"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kdlf" hidden="1">{"ALL",#N/A,FALSE,"Summary";"ALL",#N/A,FALSE,"Vs LE";"all",#N/A,FALSE,"Targets";"all",#N/A,FALSE,"FLASH";"print calc",#N/A,FALSE,"Calc";"all",#N/A,FALSE,"Corporate costs";"all",#N/A,FALSE,"Corporate costs (2)"}</definedName>
    <definedName name="Kf" hidden="1">{"sum",#N/A,FALSE,"Summary";"admin1",#N/A,FALSE,"Admin";"admin2",#N/A,FALSE,"Admin";"admin3",#N/A,FALSE,"Admin";"nat",#N/A,FALSE,"Natugo";"irri1",#N/A,FALSE,"Irrigation";"irri2",#N/A,FALSE,"Irrigation";"oil1",#N/A,FALSE,"Press and Sesame";"oil2",#N/A,FALSE,"Press and Sesame";"stove1",#N/A,FALSE,"Stove";"stove2",#N/A,FALSE,"Stove"}</definedName>
    <definedName name="ki" hidden="1">{"ALL",#N/A,FALSE,"Summary";"ALL",#N/A,FALSE,"Vs LE";"all",#N/A,FALSE,"Targets";"all",#N/A,FALSE,"FLASH";"print calc",#N/A,FALSE,"Calc";"all",#N/A,FALSE,"Corporate costs";"all",#N/A,FALSE,"Corporate costs (2)"}</definedName>
    <definedName name="kkkkkk" hidden="1">{#N/A,#N/A,FALSE," VAS";#N/A,#N/A,FALSE,"IS";#N/A,#N/A,FALSE,"B&amp;A";#N/A,#N/A,FALSE,"DAssets";#N/A,#N/A,FALSE,"ccare";#N/A,#N/A,FALSE,"ITitems";#N/A,#N/A,FALSE,"Power";#N/A,#N/A,FALSE,"Furniture";#N/A,#N/A,FALSE,"Vehicles";#N/A,#N/A,FALSE,"B. Improv"}</definedName>
    <definedName name="lag">#REF!</definedName>
    <definedName name="lagpita">#REF!</definedName>
    <definedName name="lalets2" hidden="1">{"'August 2000'!$A$1:$J$101"}</definedName>
    <definedName name="latam"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yette">#REF!</definedName>
    <definedName name="limcount" hidden="1">2</definedName>
    <definedName name="Line_Item_100" localSheetId="1">[5]Lists!$G$2:$G$38</definedName>
    <definedName name="Line_Item_100">[6]Lists!$G$2:$G$38</definedName>
    <definedName name="Line_Item_Detail" localSheetId="1">[3]Lists!$E$2:$E$39</definedName>
    <definedName name="Line_Item_Detail">[4]Lists!$E$2:$E$39</definedName>
    <definedName name="Line_Item_Detail2" localSheetId="1">[3]Lists!$E$2:$E$39</definedName>
    <definedName name="Line_Item_Detail2">[4]Lists!$E$2:$E$39</definedName>
    <definedName name="LIO" hidden="1">{#N/A,#N/A,FALSE," VAS";#N/A,#N/A,FALSE,"IS";#N/A,#N/A,FALSE,"B&amp;A";#N/A,#N/A,FALSE,"DAssets";#N/A,#N/A,FALSE,"ccare";#N/A,#N/A,FALSE,"ITitems";#N/A,#N/A,FALSE,"Power";#N/A,#N/A,FALSE,"Furniture";#N/A,#N/A,FALSE,"Vehicles";#N/A,#N/A,FALSE,"B. Improv"}</definedName>
    <definedName name="lllll" hidden="1">{#N/A,#N/A,FALSE," VAS";#N/A,#N/A,FALSE,"IS";#N/A,#N/A,FALSE,"B&amp;A";#N/A,#N/A,FALSE,"DAssets";#N/A,#N/A,FALSE,"ccare";#N/A,#N/A,FALSE,"ITitems";#N/A,#N/A,FALSE,"Power";#N/A,#N/A,FALSE,"Furniture";#N/A,#N/A,FALSE,"Vehicles";#N/A,#N/A,FALSE,"B. Improv"}</definedName>
    <definedName name="loan">#REF!</definedName>
    <definedName name="Local_Inflation_Year_2">'[24]Detail Pact'!$L$15</definedName>
    <definedName name="Local_Inflation_Year_3">'[24]Detail Pact'!$P$15</definedName>
    <definedName name="Local_Inflation_Year_4">'[24]Detail Pact'!$T$15</definedName>
    <definedName name="Local_Inflation_Year_5">'[24]Detail Pact'!$X$15</definedName>
    <definedName name="LocalCurrency">'[8]Range Page'!#REF!</definedName>
    <definedName name="localfringe">'[8]Range Page'!$A$7</definedName>
    <definedName name="localinflation_yr2">'[8]Range Page'!$A$41</definedName>
    <definedName name="localinflation_yr3">'[8]Range Page'!$A$42</definedName>
    <definedName name="localinflation_yr4">'[8]Range Page'!$A$43</definedName>
    <definedName name="localinflation_yr5">'[8]Range Page'!$A$44</definedName>
    <definedName name="lol" hidden="1">{"sum",#N/A,FALSE,"Summary";"admin1",#N/A,FALSE,"Admin";"admin2",#N/A,FALSE,"Admin";"admin3",#N/A,FALSE,"Admin";"nat",#N/A,FALSE,"Natugo";"irri1",#N/A,FALSE,"Irrigation";"irri2",#N/A,FALSE,"Irrigation";"oil1",#N/A,FALSE,"Press and Sesame";"oil2",#N/A,FALSE,"Press and Sesame";"stove1",#N/A,FALSE,"Stove";"stove2",#N/A,FALSE,"Stove"}</definedName>
    <definedName name="love">#REF!</definedName>
    <definedName name="lp" hidden="1">{"all",#N/A,FALSE,"Corporate costs";"all",#N/A,FALSE,"Corporate costs (2)"}</definedName>
    <definedName name="LQAProfile">#REF!</definedName>
    <definedName name="LQProfile">#REF!</definedName>
    <definedName name="LTorST">[25]Data!$C$2:$C$5</definedName>
    <definedName name="m" hidden="1">{"all",#N/A,FALSE,"FLASH"}</definedName>
    <definedName name="made">#REF!</definedName>
    <definedName name="magnus">#REF!</definedName>
    <definedName name="main">#REF!</definedName>
    <definedName name="mapping" hidden="1">{#N/A,#N/A,FALSE,"FY99";#N/A,#N/A,FALSE,"FY00"}</definedName>
    <definedName name="master">#REF!</definedName>
    <definedName name="masterheading">#REF!</definedName>
    <definedName name="masterp">#REF!</definedName>
    <definedName name="mastersheet">#REF!</definedName>
    <definedName name="mate">#REF!</definedName>
    <definedName name="May" hidden="1">{"sum",#N/A,FALSE,"Summary";"admin1",#N/A,FALSE,"Admin";"admin2",#N/A,FALSE,"Admin";"admin3",#N/A,FALSE,"Admin";"nat",#N/A,FALSE,"Natugo";"irri1",#N/A,FALSE,"Irrigation";"irri2",#N/A,FALSE,"Irrigation";"oil1",#N/A,FALSE,"Press and Sesame";"oil2",#N/A,FALSE,"Press and Sesame";"stove1",#N/A,FALSE,"Stove";"stove2",#N/A,FALSE,"Stove"}</definedName>
    <definedName name="medevac">'[8]Range Page'!$A$29</definedName>
    <definedName name="Medical">#REF!</definedName>
    <definedName name="meet">#REF!</definedName>
    <definedName name="Merit">'[22]Detail-1'!$J$1</definedName>
    <definedName name="Merit_And_Inflation_Year_5">#REF!</definedName>
    <definedName name="Merit_Year_2">'[26]Detail '!$L$14</definedName>
    <definedName name="Merit_Year_3">'[26]Detail '!$T$14</definedName>
    <definedName name="Merit_Year_4">'[26]Detail '!$T$14</definedName>
    <definedName name="Merit_Year_5">'[26]Detail '!$X$14</definedName>
    <definedName name="Merit1">'[27]Adam''s budget'!#REF!</definedName>
    <definedName name="ModuleColumn">'[14]Data Sheet'!$B$29:$B$174</definedName>
    <definedName name="ModuleStart">[14]!Intervention[Module-Eng]</definedName>
    <definedName name="MONSTER_QUERY_IncState">#REF!</definedName>
    <definedName name="MONSTER_QUERY_IncState_CDC_CTASS_Crosstab1">#REF!</definedName>
    <definedName name="Month_In_2007">#REF!</definedName>
    <definedName name="MY" hidden="1">{#N/A,#N/A,FALSE," VAS";#N/A,#N/A,FALSE,"IS";#N/A,#N/A,FALSE,"B&amp;A";#N/A,#N/A,FALSE,"DAssets";#N/A,#N/A,FALSE,"ccare";#N/A,#N/A,FALSE,"ITitems";#N/A,#N/A,FALSE,"Power";#N/A,#N/A,FALSE,"Furniture";#N/A,#N/A,FALSE,"Vehicles";#N/A,#N/A,FALSE,"B. Improv"}</definedName>
    <definedName name="name">#REF!</definedName>
    <definedName name="name_1" localSheetId="1">'[9]2. PERSONNEL'!$Z$9:$Z$34</definedName>
    <definedName name="name_1">'[10]2. PERSONNEL'!$Z$9:$Z$34</definedName>
    <definedName name="name_2" localSheetId="1">'[9]2. PERSONNEL'!$A$10:$F$34</definedName>
    <definedName name="name_2">'[10]2. PERSONNEL'!$A$10:$F$34</definedName>
    <definedName name="name_3" localSheetId="1">'[9]2. PERSONNEL'!$A$42:$F$66</definedName>
    <definedName name="name_3">'[10]2. PERSONNEL'!$A$42:$F$66</definedName>
    <definedName name="name_4" localSheetId="1">'[9]2. PERSONNEL'!$A$74:$F$98</definedName>
    <definedName name="name_4">'[10]2. PERSONNEL'!$A$74:$F$98</definedName>
    <definedName name="name_5" localSheetId="1">'[9]2. PERSONNEL'!$A$106:$F$130</definedName>
    <definedName name="name_5">'[10]2. PERSONNEL'!$A$106:$F$130</definedName>
    <definedName name="Name_of_APS">#REF!</definedName>
    <definedName name="name1">#REF!</definedName>
    <definedName name="name10">#REF!</definedName>
    <definedName name="name11">#REF!</definedName>
    <definedName name="name12">#REF!</definedName>
    <definedName name="name13">#REF!</definedName>
    <definedName name="name14">#REF!</definedName>
    <definedName name="name15">#REF!</definedName>
    <definedName name="name16">#REF!</definedName>
    <definedName name="name17">#REF!</definedName>
    <definedName name="name18">#REF!</definedName>
    <definedName name="name19">#REF!</definedName>
    <definedName name="name2">#REF!</definedName>
    <definedName name="name20">#REF!</definedName>
    <definedName name="name21">#REF!</definedName>
    <definedName name="name22">#REF!</definedName>
    <definedName name="name23">#REF!</definedName>
    <definedName name="name24">#REF!</definedName>
    <definedName name="name25">#REF!</definedName>
    <definedName name="name26">#REF!</definedName>
    <definedName name="name27">#REF!</definedName>
    <definedName name="name28">#REF!</definedName>
    <definedName name="name29">#REF!</definedName>
    <definedName name="name3">#REF!</definedName>
    <definedName name="name30">#REF!</definedName>
    <definedName name="name31">#REF!</definedName>
    <definedName name="name32">#REF!</definedName>
    <definedName name="name33">#REF!</definedName>
    <definedName name="name34">#REF!</definedName>
    <definedName name="name35">#REF!</definedName>
    <definedName name="name36">#REF!</definedName>
    <definedName name="name37">#REF!</definedName>
    <definedName name="name38">#REF!</definedName>
    <definedName name="name39">#REF!</definedName>
    <definedName name="name4">#REF!</definedName>
    <definedName name="name40">#REF!</definedName>
    <definedName name="name41">#REF!</definedName>
    <definedName name="name42">#REF!</definedName>
    <definedName name="name43">#REF!</definedName>
    <definedName name="name44">#REF!</definedName>
    <definedName name="name45">#REF!</definedName>
    <definedName name="name46">#REF!</definedName>
    <definedName name="name47">#REF!</definedName>
    <definedName name="name48">#REF!</definedName>
    <definedName name="name49">#REF!</definedName>
    <definedName name="name5">#REF!</definedName>
    <definedName name="name50">#REF!</definedName>
    <definedName name="name51">#REF!</definedName>
    <definedName name="name52">#REF!</definedName>
    <definedName name="name53">#REF!</definedName>
    <definedName name="name54">#REF!</definedName>
    <definedName name="name55">#REF!</definedName>
    <definedName name="name56">#REF!</definedName>
    <definedName name="name57">#REF!</definedName>
    <definedName name="name58">#REF!</definedName>
    <definedName name="name59">#REF!</definedName>
    <definedName name="name6">#REF!</definedName>
    <definedName name="name60">#REF!</definedName>
    <definedName name="name61">#REF!</definedName>
    <definedName name="name62">#REF!</definedName>
    <definedName name="name63">#REF!</definedName>
    <definedName name="name64">#REF!</definedName>
    <definedName name="name65">#REF!</definedName>
    <definedName name="name66">#REF!</definedName>
    <definedName name="name67">#REF!</definedName>
    <definedName name="name68">#REF!</definedName>
    <definedName name="name69">#REF!</definedName>
    <definedName name="name7">#REF!</definedName>
    <definedName name="name70">#REF!</definedName>
    <definedName name="name8">#REF!</definedName>
    <definedName name="name9">#REF!</definedName>
    <definedName name="nEW" hidden="1">{"10yp graphs",#N/A,FALSE,"Market Data"}</definedName>
    <definedName name="NextMonth">UPPER(TEXT(EOMONTH(VALUE('[21]Monthly Budget'!XFD1 &amp; "1"),0)+1,"mmm "))</definedName>
    <definedName name="nhf">#REF!</definedName>
    <definedName name="nnnnnn" hidden="1">{#N/A,#N/A,FALSE,"TB-Radio";#N/A,#N/A,FALSE,"TB-switching";#N/A,#N/A,FALSE,"TB-IN";#N/A,#N/A,FALSE,"TB-Transm";#N/A,#N/A,FALSE,"TB-VAS";#N/A,#N/A,FALSE,"TB-IS";#N/A,#N/A,FALSE,"TB-billing";#N/A,#N/A,FALSE,"TB-Distrbn";#N/A,#N/A,FALSE,"Tb-ccare";#N/A,#N/A,FALSE,"TB-IT";#N/A,#N/A,FALSE,"TB-Power";#N/A,#N/A,FALSE,"TB-F&amp;E";#N/A,#N/A,FALSE,"TB-MV";#N/A,#N/A,FALSE,"TB-L.imprv"}</definedName>
    <definedName name="nnnnnnnnnnn" hidden="1">{#N/A,#N/A,FALSE,"Radio";#N/A,#N/A,FALSE,"switch";#N/A,#N/A,FALSE,"IN";#N/A,#N/A,FALSE,"Trxn";#N/A,#N/A,FALSE,"Vas";#N/A,#N/A,FALSE,"is";#N/A,#N/A,FALSE,"b&amp;a";#N/A,#N/A,FALSE,"da";#N/A,#N/A,FALSE,"ccare";#N/A,#N/A,FALSE,"IT";#N/A,#N/A,FALSE,"power";#N/A,#N/A,FALSE,"furniture";#N/A,#N/A,FALSE,"vehicle";#N/A,#N/A,FALSE,"l &amp; bldg imp"}</definedName>
    <definedName name="Nov" hidden="1">{"sum",#N/A,FALSE,"Summary";"admin1",#N/A,FALSE,"Admin";"admin2",#N/A,FALSE,"Admin";"admin3",#N/A,FALSE,"Admin";"nat",#N/A,FALSE,"Natugo";"irri1",#N/A,FALSE,"Irrigation";"irri2",#N/A,FALSE,"Irrigation";"oil1",#N/A,FALSE,"Press and Sesame";"oil2",#N/A,FALSE,"Press and Sesame";"stove1",#N/A,FALSE,"Stove";"stove2",#N/A,FALSE,"Stove"}</definedName>
    <definedName name="NYC" localSheetId="1">#REF!</definedName>
    <definedName name="NYC">#REF!</definedName>
    <definedName name="NYPTCARE" localSheetId="1">#REF!</definedName>
    <definedName name="NYPTCARE">#REF!</definedName>
    <definedName name="NYPTCOP" localSheetId="1">#REF!</definedName>
    <definedName name="NYPTCOP">#REF!</definedName>
    <definedName name="NYPTCOPRw">#REF!</definedName>
    <definedName name="NYPTCOPSA">#REF!</definedName>
    <definedName name="NYPTCOPTz">#REF!</definedName>
    <definedName name="NYPTCORE">#REF!</definedName>
    <definedName name="NYPTCORERw">#REF!</definedName>
    <definedName name="NYPTCORESA">#REF!</definedName>
    <definedName name="NYPTCORETz">#REF!</definedName>
    <definedName name="O" hidden="1">{#N/A,#N/A,FALSE,"TB-VAS";#N/A,#N/A,FALSE,"TB-IS";#N/A,#N/A,FALSE,"TB-billing";#N/A,#N/A,FALSE,"TB-Distrbn";#N/A,#N/A,FALSE,"Tb-ccare";#N/A,#N/A,FALSE,"TB-IT";#N/A,#N/A,FALSE,"TB-Power";#N/A,#N/A,FALSE,"TB-F&amp;E";#N/A,#N/A,FALSE,"TB-MV";#N/A,#N/A,FALSE,"TB-L.imprv"}</definedName>
    <definedName name="ODA_Clusters">'[7]ODA Detail'!$E$17</definedName>
    <definedName name="ODA_Coordinators">'[7]ODA Detail'!$F$17</definedName>
    <definedName name="ODA_Schools">'[7]ODA Detail'!$D$17</definedName>
    <definedName name="ODC">#REF!</definedName>
    <definedName name="officersPlural">#REF!</definedName>
    <definedName name="OH">'[8]Range Page'!$A$3</definedName>
    <definedName name="olu">#REF!</definedName>
    <definedName name="onin" hidden="1">{#N/A,#N/A,FALSE," VAS";#N/A,#N/A,FALSE,"IS";#N/A,#N/A,FALSE,"B&amp;A";#N/A,#N/A,FALSE,"DAssets";#N/A,#N/A,FALSE,"ccare";#N/A,#N/A,FALSE,"ITitems";#N/A,#N/A,FALSE,"Power";#N/A,#N/A,FALSE,"Furniture";#N/A,#N/A,FALSE,"Vehicles";#N/A,#N/A,FALSE,"B. Improv"}</definedName>
    <definedName name="onomen">#REF!</definedName>
    <definedName name="oo" hidden="1">{"ratios",#N/A,FALSE,"Summary Accounts"}</definedName>
    <definedName name="OOOOO" hidden="1">{"budget992000 tariff and usage",#N/A,FALSE,"Celtel alternative 6"}</definedName>
    <definedName name="oooooo" hidden="1">{#N/A,#N/A,FALSE,"Radio";#N/A,#N/A,FALSE,"switch";#N/A,#N/A,FALSE,"IN";#N/A,#N/A,FALSE,"Trxn";#N/A,#N/A,FALSE,"Vas";#N/A,#N/A,FALSE,"is";#N/A,#N/A,FALSE,"b&amp;a";#N/A,#N/A,FALSE,"da";#N/A,#N/A,FALSE,"ccare";#N/A,#N/A,FALSE,"IT";#N/A,#N/A,FALSE,"power";#N/A,#N/A,FALSE,"furniture";#N/A,#N/A,FALSE,"vehicle";#N/A,#N/A,FALSE,"l &amp; bldg imp"}</definedName>
    <definedName name="Other" localSheetId="1">#REF!</definedName>
    <definedName name="Other">#REF!</definedName>
    <definedName name="OTK">#REF!</definedName>
    <definedName name="OUTPUT">'[28]0210-YTDDetail'!#REF!</definedName>
    <definedName name="OUTPUT_3">#REF!</definedName>
    <definedName name="output2">'[28]0210-YTDDetail'!#REF!</definedName>
    <definedName name="output2_3">#REF!</definedName>
    <definedName name="PADM">#REF!</definedName>
    <definedName name="paye">#REF!</definedName>
    <definedName name="PAYESTATE">#REF!</definedName>
    <definedName name="payroll">#REF!</definedName>
    <definedName name="payye">#REF!</definedName>
    <definedName name="pen">#REF!</definedName>
    <definedName name="pensio">#REF!</definedName>
    <definedName name="pension">#REF!</definedName>
    <definedName name="pensionsave">#REF!</definedName>
    <definedName name="PercentsExpense">'[21]Monthly Budget'!#REF!,'[21]Monthly Budget'!#REF!,'[21]Monthly Budget'!#REF!,'[21]Monthly Budget'!#REF!,'[21]Monthly Budget'!#REF!,'[21]Monthly Budget'!#REF!</definedName>
    <definedName name="PercentsIncome">'[21]Monthly Budget'!#REF!</definedName>
    <definedName name="PerCurrRpt">[29]Data!$G$8</definedName>
    <definedName name="PERDIEM" localSheetId="1">#REF!</definedName>
    <definedName name="PERDIEM">#REF!</definedName>
    <definedName name="Periods">'[21]Monthly Budget'!#REF!</definedName>
    <definedName name="Personnel">#REF!</definedName>
    <definedName name="PHCC">[30]Facilities!$H$10</definedName>
    <definedName name="PHCU">[30]Facilities!$G$10</definedName>
    <definedName name="Photos">#REF!</definedName>
    <definedName name="pita">#REF!</definedName>
    <definedName name="pitam">#REF!</definedName>
    <definedName name="postallowance">'[8]Range Page'!$A$8</definedName>
    <definedName name="postallowance.intlstaff2">'[8]Range Page'!$A$9</definedName>
    <definedName name="postallowance.intlstaff3">'[8]Range Page'!$A$10</definedName>
    <definedName name="postallowance.intlstaff4">'[8]Range Page'!$A$11</definedName>
    <definedName name="postallowance.researcher">'[8]Range Page'!$A$12</definedName>
    <definedName name="postdifferential">'[8]Range Page'!$A$13</definedName>
    <definedName name="postdifferential.intlstaff2">'[8]Range Page'!$A$14</definedName>
    <definedName name="postdifferential.intlstaff3">'[8]Range Page'!$A$15</definedName>
    <definedName name="postdifferential.intlstaff4">'[8]Range Page'!$A$16</definedName>
    <definedName name="postdifferential.researcher">'[8]Range Page'!$A$17</definedName>
    <definedName name="PostType">#REF!</definedName>
    <definedName name="ppppp" hidden="1">{#N/A,#N/A,FALSE,"TB-VAS";#N/A,#N/A,FALSE,"TB-IS";#N/A,#N/A,FALSE,"TB-billing";#N/A,#N/A,FALSE,"TB-Distrbn";#N/A,#N/A,FALSE,"Tb-ccare";#N/A,#N/A,FALSE,"TB-IT";#N/A,#N/A,FALSE,"TB-Power";#N/A,#N/A,FALSE,"TB-F&amp;E";#N/A,#N/A,FALSE,"TB-MV";#N/A,#N/A,FALSE,"TB-L.imprv"}</definedName>
    <definedName name="Prefix">#REF!</definedName>
    <definedName name="print_ar2">#REF!</definedName>
    <definedName name="PRINT_TITLES_MI">#REF!</definedName>
    <definedName name="procurementfee">'[8]Range Page'!$A$33</definedName>
    <definedName name="PROJECT_TERM">#REF!</definedName>
    <definedName name="PROJECT_TITLE">#REF!</definedName>
    <definedName name="projecttype">[31]Sheet2!$A$2:$A$5</definedName>
    <definedName name="q" hidden="1">{"all",#N/A,FALSE,"FLASH"}</definedName>
    <definedName name="qqqq" hidden="1">{#N/A,#N/A,FALSE," VAS";#N/A,#N/A,FALSE,"IS";#N/A,#N/A,FALSE,"B&amp;A";#N/A,#N/A,FALSE,"DAssets";#N/A,#N/A,FALSE,"ccare";#N/A,#N/A,FALSE,"ITitems";#N/A,#N/A,FALSE,"Power";#N/A,#N/A,FALSE,"Furniture";#N/A,#N/A,FALSE,"Vehicles";#N/A,#N/A,FALSE,"B. Improv"}</definedName>
    <definedName name="qqqqq" hidden="1">{#N/A,#N/A,FALSE," VAS";#N/A,#N/A,FALSE,"IS";#N/A,#N/A,FALSE,"B&amp;A";#N/A,#N/A,FALSE,"DAssets";#N/A,#N/A,FALSE,"ccare";#N/A,#N/A,FALSE,"ITitems";#N/A,#N/A,FALSE,"Power";#N/A,#N/A,FALSE,"Furniture";#N/A,#N/A,FALSE,"Vehicles";#N/A,#N/A,FALSE,"B. Improv"}</definedName>
    <definedName name="qqqqqqqqqqq" hidden="1">#REF!</definedName>
    <definedName name="RandR">#REF!</definedName>
    <definedName name="rate" localSheetId="1">[9]Sheet1!$J$20:$R$24</definedName>
    <definedName name="rate">[10]Sheet1!$J$20:$R$24</definedName>
    <definedName name="Rate_Increase" localSheetId="1">'[32]NY Base Salary'!$E$5</definedName>
    <definedName name="Rate_Increase">'[33]NY Base Salary'!$E$5</definedName>
    <definedName name="rate1" localSheetId="1">[9]Sheet1!$J$22:$J$24</definedName>
    <definedName name="rate1">[10]Sheet1!$J$22:$J$24</definedName>
    <definedName name="Rate3">#REF!</definedName>
    <definedName name="rDataset">#REF!</definedName>
    <definedName name="Recipient">OFFSET([14]Setup!$K$43,1,0,MATCH(" ",[14]Setup!$K$43:$K$103,-1)-1,1)</definedName>
    <definedName name="region">#REF!</definedName>
    <definedName name="Region_1">#REF!</definedName>
    <definedName name="Repairs">#REF!</definedName>
    <definedName name="Requestor">#REF!</definedName>
    <definedName name="Requestor_1">#REF!</definedName>
    <definedName name="REST_Clusters">'[7]REST Detail'!$E$14</definedName>
    <definedName name="REST_Coordinators">'[7]REST Detail'!$F$14</definedName>
    <definedName name="REST_Schools">'[7]REST Detail'!$D$14</definedName>
    <definedName name="rfa" hidden="1">{"Yr1",#N/A,FALSE,"Budget Detail";"Yr2",#N/A,FALSE,"Budget Detail";"Yr3",#N/A,FALSE,"Budget Detail";"Yr4",#N/A,FALSE,"Budget Detail";"Yr5",#N/A,FALSE,"Budget Detail";"Total",#N/A,FALSE,"Budget Detail"}</definedName>
    <definedName name="RFA_Number" localSheetId="1">[11]Inputs!$B$3</definedName>
    <definedName name="RFA_Number">[12]Inputs!$B$3</definedName>
    <definedName name="RFPNum">#REF!</definedName>
    <definedName name="rob"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RPM">#REF!</definedName>
    <definedName name="rrrrrr" hidden="1">{"cash plan",#N/A,FALSE,"fccashflow"}</definedName>
    <definedName name="rrrrrrr" hidden="1">{#N/A,#N/A,FALSE," VAS";#N/A,#N/A,FALSE,"IS";#N/A,#N/A,FALSE,"B&amp;A";#N/A,#N/A,FALSE,"DAssets";#N/A,#N/A,FALSE,"ccare";#N/A,#N/A,FALSE,"ITitems";#N/A,#N/A,FALSE,"Power";#N/A,#N/A,FALSE,"Furniture";#N/A,#N/A,FALSE,"Vehicles";#N/A,#N/A,FALSE,"B. Improv"}</definedName>
    <definedName name="RShipment">#REF!</definedName>
    <definedName name="RWPL">#REF!</definedName>
    <definedName name="s" hidden="1">{"print calc",#N/A,FALSE,"Sheet1"}</definedName>
    <definedName name="sa" hidden="1">{"sum",#N/A,FALSE,"Summary";"admin1",#N/A,FALSE,"Admin";"admin2",#N/A,FALSE,"Admin";"admin3",#N/A,FALSE,"Admin";"nat",#N/A,FALSE,"Natugo";"irri1",#N/A,FALSE,"Irrigation";"irri2",#N/A,FALSE,"Irrigation";"oil1",#N/A,FALSE,"Press and Sesame";"oil2",#N/A,FALSE,"Press and Sesame";"stove1",#N/A,FALSE,"Stove";"stove2",#N/A,FALSE,"Stove"}</definedName>
    <definedName name="SAAD_Clusters">'[7]SAAD Detail'!$E$14</definedName>
    <definedName name="SAAD_Coordinators">'[7]SAAD Detail'!$F$14</definedName>
    <definedName name="SAAD_Schools">'[7]SAAD Detail'!$D$14</definedName>
    <definedName name="sal" localSheetId="1">#REF!</definedName>
    <definedName name="sal">#REF!</definedName>
    <definedName name="Salary">#REF!</definedName>
    <definedName name="sam" hidden="1">{"sum",#N/A,FALSE,"Summary";"admin1",#N/A,FALSE,"Admin";"admin2",#N/A,FALSE,"Admin";"admin3",#N/A,FALSE,"Admin";"nat",#N/A,FALSE,"Natugo";"irri1",#N/A,FALSE,"Irrigation";"irri2",#N/A,FALSE,"Irrigation";"oil1",#N/A,FALSE,"Press and Sesame";"oil2",#N/A,FALSE,"Press and Sesame";"stove1",#N/A,FALSE,"Stove";"stove2",#N/A,FALSE,"Stove"}</definedName>
    <definedName name="School" localSheetId="1">[11]Inputs!$B$5</definedName>
    <definedName name="School">[12]Inputs!$B$5</definedName>
    <definedName name="ScrollBarValue">#REF!</definedName>
    <definedName name="Security">#REF!</definedName>
    <definedName name="Segment_1_Main_GL_newcodes">#REF!</definedName>
    <definedName name="Select_Type">'[13]Project Total'!$CA$3:$CA$5</definedName>
    <definedName name="SelectedPeriod">INDEX(Periods,,ScrollBarValue)</definedName>
    <definedName name="SelectedPeriodCashFlowNegative">INDEX('[21]Monthly Budget'!#REF!,,SelectedPeriodColumn) * NOT(SelectedPeriodIsFunded)</definedName>
    <definedName name="SelectedPeriodCashFlowNegative_Mirror">CHOOSE({1,2,3},0,SelectedPeriodCashFlowNegative,-(MAX(ABS(SelectedPeriodCashFlowNegative),SelectedPeriodCashFlowPositive)))</definedName>
    <definedName name="SelectedPeriodCashFlowPositive">INDEX('[21]Monthly Budget'!#REF!,,SelectedPeriodColumn) * SelectedPeriodIsFunded</definedName>
    <definedName name="SelectedPeriodCashFlowPositive_Mirror">CHOOSE({1,2,3},0,SelectedPeriodCashFlowPositive,(MAX(ABS(SelectedPeriodCashFlowNegative),SelectedPeriodCashFlowPositive)))</definedName>
    <definedName name="SelectedPeriodColumn">MATCH(SelectedPeriod,Periods,0)</definedName>
    <definedName name="SelectedPeriodIsFunded">INDEX('[21]Monthly Budget'!#REF!,,SelectedPeriodColumn)&gt;=INDEX('[21]Monthly Budget'!#REF!,,SelectedPeriodColumn)</definedName>
    <definedName name="SelectedStartMonth">'[21]Monthly Budget'!#REF!</definedName>
    <definedName name="sencount" hidden="1">2</definedName>
    <definedName name="Sep" hidden="1">{"sum",#N/A,FALSE,"Summary";"admin1",#N/A,FALSE,"Admin";"admin2",#N/A,FALSE,"Admin";"admin3",#N/A,FALSE,"Admin";"nat",#N/A,FALSE,"Natugo";"irri1",#N/A,FALSE,"Irrigation";"irri2",#N/A,FALSE,"Irrigation";"oil1",#N/A,FALSE,"Press and Sesame";"oil2",#N/A,FALSE,"Press and Sesame";"stove1",#N/A,FALSE,"Stove";"stove2",#N/A,FALSE,"Stove"}</definedName>
    <definedName name="SEPDA_Clusters">'[7]SEPDA Detail'!$E$14</definedName>
    <definedName name="SEPDA_Coordinators">'[7]SEPDA Detail'!$F$14</definedName>
    <definedName name="SEPDA_Schools">'[7]SEPDA Detail'!$D$14</definedName>
    <definedName name="sepo">[14]!Tableau1[Dépôt]</definedName>
    <definedName name="ServiceCharter_1">#REF!</definedName>
    <definedName name="ServiceCriteria">#REF!</definedName>
    <definedName name="SettleIn">#REF!</definedName>
    <definedName name="SettlingIn">#REF!</definedName>
    <definedName name="sheet1" hidden="1">{"sum",#N/A,FALSE,"Summary";"admin1",#N/A,FALSE,"Admin";"admin2",#N/A,FALSE,"Admin";"admin3",#N/A,FALSE,"Admin";"nat",#N/A,FALSE,"Natugo";"irri1",#N/A,FALSE,"Irrigation";"irri2",#N/A,FALSE,"Irrigation";"oil1",#N/A,FALSE,"Press and Sesame";"oil2",#N/A,FALSE,"Press and Sesame";"stove1",#N/A,FALSE,"Stove";"stove2",#N/A,FALSE,"Stove"}</definedName>
    <definedName name="Shipment">#REF!</definedName>
    <definedName name="SOAType">#REF!</definedName>
    <definedName name="sousprefecture">#REF!</definedName>
    <definedName name="SSM_Rate" localSheetId="1">#REF!</definedName>
    <definedName name="SSM_Rate">#REF!</definedName>
    <definedName name="sss" hidden="1">{"bugdet992000 balance sheet",#N/A,FALSE,"Celtel alternative 6"}</definedName>
    <definedName name="SSSS" hidden="1">{"budget992000 profit and loss",#N/A,FALSE,"Celtel alternative 6"}</definedName>
    <definedName name="ssssssss" localSheetId="1">[34]Inputs!$B$6</definedName>
    <definedName name="ssssssss">[35]Inputs!$B$6</definedName>
    <definedName name="sssssssssss" hidden="1">{"10yp tariffs",#N/A,FALSE,"Celtel alternative 6"}</definedName>
    <definedName name="staff" localSheetId="1">[9]Sheet1!$J$7:$J$11</definedName>
    <definedName name="staff">[10]Sheet1!$J$7:$J$11</definedName>
    <definedName name="staffname">#REF!</definedName>
    <definedName name="StartDate">DATEVALUE(SelectedStartMonth &amp;  "1, " &amp; YEAR(TODAY()))</definedName>
    <definedName name="Storage">#REF!</definedName>
    <definedName name="Sub">#REF!</definedName>
    <definedName name="Submitted" localSheetId="1">[11]Inputs!$B$7</definedName>
    <definedName name="Submitted">[12]Inputs!$B$7</definedName>
    <definedName name="Subwards">[36]Summary!$H$24</definedName>
    <definedName name="Summary1" hidden="1">{"ALL",#N/A,FALSE,"Summary";"ALL",#N/A,FALSE,"Vs LE";"all",#N/A,FALSE,"Targets";"all",#N/A,FALSE,"FLASH";"print calc",#N/A,FALSE,"Calc";"all",#N/A,FALSE,"Corporate costs";"all",#N/A,FALSE,"Corporate costs (2)"}</definedName>
    <definedName name="Supplies">#REF!</definedName>
    <definedName name="SV_AUTO_CONN_CATALOG" hidden="1">"Helios 2007 (New)"</definedName>
    <definedName name="SV_AUTO_CONN_SERVER" hidden="1">"heliosapps"</definedName>
    <definedName name="SV_ENCPT_AUTO_CONN_PASSWORD" hidden="1">"083096084083070"</definedName>
    <definedName name="SV_ENCPT_AUTO_CONN_USER" hidden="1">"095094088070084"</definedName>
    <definedName name="SV_ENCPT_EVOCOMMON_PASSWORD" hidden="1">"083096084083070"</definedName>
    <definedName name="SV_ENCPT_EVOCOMMON_USER" hidden="1">"095094088070084"</definedName>
    <definedName name="SV_ENCPT_LOGON_PWD" hidden="1">"078104085088070"</definedName>
    <definedName name="SV_ENCPT_LOGON_USER" hidden="1">"095094088070084"</definedName>
    <definedName name="SV_EVOCOMMON_CATALOG" hidden="1">"EvolutionCommon"</definedName>
    <definedName name="SV_EVOCOMMON_SERVER" hidden="1">"heliosapps"</definedName>
    <definedName name="SV_SOLUTION_ID" hidden="1">"2"</definedName>
    <definedName name="t" hidden="1">{"ALL",#N/A,FALSE,"Summary";"ALL",#N/A,FALSE,"Vs LE";"all",#N/A,FALSE,"Targets";"all",#N/A,FALSE,"FLASH";"print calc",#N/A,FALSE,"Calc";"all",#N/A,FALSE,"Corporate costs";"all",#N/A,FALSE,"Corporate costs (2)"}</definedName>
    <definedName name="tableHeaders">#REF!</definedName>
    <definedName name="tableInputs">#REF!</definedName>
    <definedName name="tame">#REF!</definedName>
    <definedName name="tamed">#REF!</definedName>
    <definedName name="tape">#REF!</definedName>
    <definedName name="tax">#REF!</definedName>
    <definedName name="taxy">#REF!</definedName>
    <definedName name="teach">#REF!</definedName>
    <definedName name="Technical_Sector">#REF!</definedName>
    <definedName name="TextRefCopyRangeCount" hidden="1">1</definedName>
    <definedName name="tick">#REF!</definedName>
    <definedName name="Title" localSheetId="1">[11]Inputs!$B$4</definedName>
    <definedName name="Title">[12]Inputs!$B$4</definedName>
    <definedName name="TLA">#REF!</definedName>
    <definedName name="top" hidden="1">{"all",#N/A,FALSE,"Vs LE";"ALL",#N/A,FALSE,"Summary"}</definedName>
    <definedName name="TOTAL" hidden="1">{"CACOST95",#N/A,FALSE,"CACOST_1000";"CA95REPORT",#N/A,FALSE,"CACOST_1000"}</definedName>
    <definedName name="Total_Actual_MV">'[13]Project Total'!$BY$7:$EH$30</definedName>
    <definedName name="Total_Forecast_MV">'[13]Project Total'!$EI$7:$GR$30</definedName>
    <definedName name="Total_Month">[13]Notes!$N$2:$N$63</definedName>
    <definedName name="totalstaff">#REF!</definedName>
    <definedName name="totalyrs">#REF!</definedName>
    <definedName name="totmile">'[37]SiG FR'!#REF!</definedName>
    <definedName name="totmile_3">#REF!</definedName>
    <definedName name="tottask">'[37]SiG FR'!#REF!</definedName>
    <definedName name="tottask_3">#REF!</definedName>
    <definedName name="TQLA">#REF!</definedName>
    <definedName name="Travel">#REF!</definedName>
    <definedName name="tree" hidden="1">#REF!</definedName>
    <definedName name="try">#REF!</definedName>
    <definedName name="ttt" hidden="1">#REF!</definedName>
    <definedName name="tytyty" hidden="1">{#N/A,#N/A,FALSE," VAS";#N/A,#N/A,FALSE,"IS";#N/A,#N/A,FALSE,"B&amp;A";#N/A,#N/A,FALSE,"DAssets";#N/A,#N/A,FALSE,"ccare";#N/A,#N/A,FALSE,"ITitems";#N/A,#N/A,FALSE,"Power";#N/A,#N/A,FALSE,"Furniture";#N/A,#N/A,FALSE,"Vehicles";#N/A,#N/A,FALSE,"B. Improv"}</definedName>
    <definedName name="UAB">#REF!</definedName>
    <definedName name="uncle">#REF!</definedName>
    <definedName name="Unit_Type" localSheetId="1">[3]Lists!$F$3:$F$21</definedName>
    <definedName name="Unit_Type">[4]Lists!$F$3:$F$21</definedName>
    <definedName name="Unit_Type_100" localSheetId="1">[5]Lists!$H$2:$H$22</definedName>
    <definedName name="Unit_Type_100">[6]Lists!$H$2:$H$22</definedName>
    <definedName name="US_Lodging" localSheetId="1">[11]Inputs!$B$22</definedName>
    <definedName name="US_Lodging">[12]Inputs!$B$22</definedName>
    <definedName name="US_ME_I" localSheetId="1">[11]Inputs!$B$23</definedName>
    <definedName name="US_ME_I">[12]Inputs!$B$23</definedName>
    <definedName name="US_Misc" localSheetId="1">[11]Inputs!$B$24</definedName>
    <definedName name="US_Misc">[12]Inputs!$B$24</definedName>
    <definedName name="USD">0.85</definedName>
    <definedName name="USDtoGBP">0.643</definedName>
    <definedName name="usinflation_yr2">'[8]Range Page'!$A$36</definedName>
    <definedName name="usinflation_yr3">'[8]Range Page'!$A$37</definedName>
    <definedName name="usinflation_yr4">'[8]Range Page'!$A$38</definedName>
    <definedName name="usinflation_yr5">'[8]Range Page'!$A$39</definedName>
    <definedName name="Utilities">#REF!</definedName>
    <definedName name="uuu" hidden="1">{"p_l",#N/A,FALSE,"Summary Accounts"}</definedName>
    <definedName name="uuuuu" hidden="1">{#N/A,#N/A,FALSE," VAS";#N/A,#N/A,FALSE,"IS";#N/A,#N/A,FALSE,"B&amp;A";#N/A,#N/A,FALSE,"DAssets";#N/A,#N/A,FALSE,"ccare";#N/A,#N/A,FALSE,"ITitems";#N/A,#N/A,FALSE,"Power";#N/A,#N/A,FALSE,"Furniture";#N/A,#N/A,FALSE,"Vehicles";#N/A,#N/A,FALSE,"B. Improv"}</definedName>
    <definedName name="uuuuuu" hidden="1">{#N/A,#N/A,FALSE," VAS";#N/A,#N/A,FALSE,"IS";#N/A,#N/A,FALSE,"B&amp;A";#N/A,#N/A,FALSE,"DAssets";#N/A,#N/A,FALSE,"ccare";#N/A,#N/A,FALSE,"ITitems";#N/A,#N/A,FALSE,"Power";#N/A,#N/A,FALSE,"Furniture";#N/A,#N/A,FALSE,"Vehicles";#N/A,#N/A,FALSE,"B. Improv"}</definedName>
    <definedName name="validdepts">[38]depts!$D$8:$D$27</definedName>
    <definedName name="vera">#REF!</definedName>
    <definedName name="vhjipgp9i" hidden="1">{"ALL",#N/A,FALSE,"Summary";"ALL",#N/A,FALSE,"Vs LE";"all",#N/A,FALSE,"Targets";"all",#N/A,FALSE,"FLASH";"print calc",#N/A,FALSE,"Calc";"all",#N/A,FALSE,"Corporate costs";"all",#N/A,FALSE,"Corporate costs (2)"}</definedName>
    <definedName name="vhjk" hidden="1">{"ALL",#N/A,FALSE,"Summary";"ALL",#N/A,FALSE,"Vs LE";"all",#N/A,FALSE,"Targets";"all",#N/A,FALSE,"FLASH";"print calc",#N/A,FALSE,"Calc";"all",#N/A,FALSE,"Corporate costs";"all",#N/A,FALSE,"Corporate costs (2)"}</definedName>
    <definedName name="VLI" hidden="1">{"'Proposal Balance Sheet'!$A$268:$L$320"}</definedName>
    <definedName name="VSMA">#REF!</definedName>
    <definedName name="VTM_1" hidden="1">#REF!</definedName>
    <definedName name="VTM_10" hidden="1">#REF!</definedName>
    <definedName name="VTM_11" hidden="1">#REF!</definedName>
    <definedName name="VTM_12" hidden="1">#REF!</definedName>
    <definedName name="VTM_13" hidden="1">#REF!</definedName>
    <definedName name="VTM_14" hidden="1">#REF!</definedName>
    <definedName name="VTM_15" hidden="1">#REF!</definedName>
    <definedName name="VTM_16" hidden="1">#REF!</definedName>
    <definedName name="VTM_17" hidden="1">#REF!</definedName>
    <definedName name="VTM_18" hidden="1">#REF!</definedName>
    <definedName name="VTM_19" hidden="1">#REF!</definedName>
    <definedName name="VTM_2" hidden="1">#REF!</definedName>
    <definedName name="VTM_20" hidden="1">#REF!</definedName>
    <definedName name="VTM_21" hidden="1">#REF!</definedName>
    <definedName name="VTM_22" hidden="1">#REF!</definedName>
    <definedName name="VTM_23" hidden="1">#REF!</definedName>
    <definedName name="VTM_24" hidden="1">#REF!</definedName>
    <definedName name="VTM_26" hidden="1">#REF!</definedName>
    <definedName name="VTM_3" hidden="1">#REF!</definedName>
    <definedName name="VTM_4" hidden="1">#REF!</definedName>
    <definedName name="VTM_9" hidden="1">#REF!</definedName>
    <definedName name="vvvvvv" hidden="1">{#N/A,#N/A,FALSE," VAS";#N/A,#N/A,FALSE,"IS";#N/A,#N/A,FALSE,"B&amp;A";#N/A,#N/A,FALSE,"DAssets";#N/A,#N/A,FALSE,"ccare";#N/A,#N/A,FALSE,"ITitems";#N/A,#N/A,FALSE,"Power";#N/A,#N/A,FALSE,"Furniture";#N/A,#N/A,FALSE,"Vehicles";#N/A,#N/A,FALSE,"B. Improv"}</definedName>
    <definedName name="vvvvvvvvvvvvvv" localSheetId="1">#REF!</definedName>
    <definedName name="vvvvvvvvvvvvvv">#REF!</definedName>
    <definedName name="vYear1Inflation" localSheetId="0">1 + vInflation</definedName>
    <definedName name="vYear1Inflation">1 + vInflation</definedName>
    <definedName name="wa">#REF!</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ell">#REF!</definedName>
    <definedName name="workerscomp.intlstaff">'[8]Range Page'!$A$30</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Aging._.and._.Trend._.Analysis." hidden="1">{#N/A,#N/A,FALSE,"Aging Summary";#N/A,#N/A,FALSE,"Ratio Analysis";#N/A,#N/A,FALSE,"Test 120 Day Accts";#N/A,#N/A,FALSE,"Tickmarks"}</definedName>
    <definedName name="wrn.All._.Grant._.Forms." hidden="1">{"Form DD",#N/A,FALSE,"DD";"EE",#N/A,FALSE,"EE";"Indirects",#N/A,FALSE,"DD"}</definedName>
    <definedName name="wrn.BS." hidden="1">{"BS Con'd",#N/A,FALSE,"BS";"BS Con'g",#N/A,FALSE,"BS"}</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Capex._.budget._.reconciliation." hidden="1">{#N/A,#N/A,FALSE,"Radio";#N/A,#N/A,FALSE,"switch";#N/A,#N/A,FALSE,"IN";#N/A,#N/A,FALSE,"Trxn";#N/A,#N/A,FALSE,"Vas";#N/A,#N/A,FALSE,"is";#N/A,#N/A,FALSE,"b&amp;a";#N/A,#N/A,FALSE,"da";#N/A,#N/A,FALSE,"ccare";#N/A,#N/A,FALSE,"IT";#N/A,#N/A,FALSE,"power";#N/A,#N/A,FALSE,"furniture";#N/A,#N/A,FALSE,"vehicle";#N/A,#N/A,FALSE,"l &amp; bldg imp"}</definedName>
    <definedName name="wrn.Cash._.Plan." hidden="1">{"cash plan",#N/A,FALSE,"fccashflow"}</definedName>
    <definedName name="wrn.cdra._.Total._.budget.2" hidden="1">{"Yr1",#N/A,FALSE,"Budget Detail";"Yr2",#N/A,FALSE,"Budget Detail";"Yr3",#N/A,FALSE,"Budget Detail";"Yr4",#N/A,FALSE,"Budget Detail";"Yr5",#N/A,FALSE,"Budget Detail";"Total",#N/A,FALSE,"Budget Detail"}</definedName>
    <definedName name="wrn.cdra._.total._.Budget.5" hidden="1">{"Yr1",#N/A,FALSE,"Budget Detail";"Yr2",#N/A,FALSE,"Budget Detail";"Yr3",#N/A,FALSE,"Budget Detail";"Yr4",#N/A,FALSE,"Budget Detail";"Yr5",#N/A,FALSE,"Budget Detail";"Total",#N/A,FALSE,"Budget Detail"}</definedName>
    <definedName name="wrn.CF." hidden="1">{#N/A,#N/A,FALSE,"CF YTD";#N/A,#N/A,FALSE,"CF MTD";#N/A,#N/A,FALSE,"CF WS"}</definedName>
    <definedName name="wrn.CRDA._.Total._.Budget." hidden="1">{"Yr1",#N/A,FALSE,"Budget Detail";"Yr2",#N/A,FALSE,"Budget Detail";"Yr3",#N/A,FALSE,"Budget Detail";"Yr4",#N/A,FALSE,"Budget Detail";"Yr5",#N/A,FALSE,"Budget Detail";"Total",#N/A,FALSE,"Budget Detail"}</definedName>
    <definedName name="wrn.crda._.Total._.budget.1" hidden="1">{"Yr1",#N/A,FALSE,"Budget Detail";"Yr2",#N/A,FALSE,"Budget Detail";"Yr3",#N/A,FALSE,"Budget Detail";"Yr4",#N/A,FALSE,"Budget Detail";"Yr5",#N/A,FALSE,"Budget Detail";"Total",#N/A,FALSE,"Budget Detail"}</definedName>
    <definedName name="wrn.crda._.Total._.budget.3" hidden="1">{"Yr1",#N/A,FALSE,"Budget Detail";"Yr2",#N/A,FALSE,"Budget Detail";"Yr3",#N/A,FALSE,"Budget Detail";"Yr4",#N/A,FALSE,"Budget Detail";"Yr5",#N/A,FALSE,"Budget Detail";"Total",#N/A,FALSE,"Budget Detail"}</definedName>
    <definedName name="wrn.crda._.Total._.Budget.4" hidden="1">{"Yr1",#N/A,FALSE,"Budget Detail";"Yr2",#N/A,FALSE,"Budget Detail";"Yr3",#N/A,FALSE,"Budget Detail";"Yr4",#N/A,FALSE,"Budget Detail";"Yr5",#N/A,FALSE,"Budget Detail";"Total",#N/A,FALSE,"Budget Detail"}</definedName>
    <definedName name="wrn.gfhhjasdf." hidden="1">{#N/A,#N/A,FALSE," VAS";#N/A,#N/A,FALSE,"IS";#N/A,#N/A,FALSE,"B&amp;A";#N/A,#N/A,FALSE,"DAssets";#N/A,#N/A,FALSE,"ccare";#N/A,#N/A,FALSE,"ITitems";#N/A,#N/A,FALSE,"Power";#N/A,#N/A,FALSE,"Furniture";#N/A,#N/A,FALSE,"Vehicles";#N/A,#N/A,FALSE,"B. Improv"}</definedName>
    <definedName name="wrn.hdvghas\k." hidden="1">{#N/A,#N/A,FALSE,"TB-VAS";#N/A,#N/A,FALSE,"TB-IS";#N/A,#N/A,FALSE,"TB-billing";#N/A,#N/A,FALSE,"TB-Distrbn";#N/A,#N/A,FALSE,"Tb-ccare";#N/A,#N/A,FALSE,"TB-IT";#N/A,#N/A,FALSE,"TB-Power";#N/A,#N/A,FALSE,"TB-F&amp;E";#N/A,#N/A,FALSE,"TB-MV";#N/A,#N/A,FALSE,"TB-L.imprv"}</definedName>
    <definedName name="wrn.hfgjhag." hidden="1">{#N/A,#N/A,FALSE,"TB-Radio";#N/A,#N/A,FALSE,"TB-switching";#N/A,#N/A,FALSE,"TB-IN";#N/A,#N/A,FALSE,"TB-Transm";#N/A,#N/A,FALSE,"TB-VAS";#N/A,#N/A,FALSE,"TB-IS";#N/A,#N/A,FALSE,"TB-billing";#N/A,#N/A,FALSE,"TB-Distrbn";#N/A,#N/A,FALSE,"Tb-ccare";#N/A,#N/A,FALSE,"TB-IT";#N/A,#N/A,FALSE,"TB-Power";#N/A,#N/A,FALSE,"TB-F&amp;E";#N/A,#N/A,FALSE,"TB-MV";#N/A,#N/A,FALSE,"TB-L.imprv"}</definedName>
    <definedName name="wrn.IS." hidden="1">{"IS Con'd",#N/A,FALSE,"IS YTD";"IS Con'g",#N/A,FALSE,"IS YTD";"IS Con'd MTD",#N/A,FALSE,"IS YTD";"IS MTD Con'g",#N/A,FALSE,"IS MTD"}</definedName>
    <definedName name="wrn.IS._.QTD." hidden="1">{"IS Con'd QTD",#N/A,FALSE,"IS YTD";"IS QTD",#N/A,FALSE,"IS QTD";"IS QTD Con'g",#N/A,FALSE,"IS QTD"}</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rn.Output." hidden="1">{#N/A,#N/A,FALSE,"FY99";#N/A,#N/A,FALSE,"FY00"}</definedName>
    <definedName name="wrn.plbscf." hidden="1">{"p_l",#N/A,FALSE,"Summary Accounts"}</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nt." hidden="1">{"fygrow",#N/A,TRUE,"Full Year";"FYalloc",#N/A,TRUE,"Full Year";"hygrow",#N/A,TRUE,"HY Org grow";"hyalloc",#N/A,TRUE,"Half Year"}</definedName>
    <definedName name="wrn.Print._.abbreviate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ll." hidden="1">{"ALL",#N/A,FALSE,"Summary";"ALL",#N/A,FALSE,"Vs LE";"all",#N/A,FALSE,"Targets";"all",#N/A,FALSE,"FLASH";"print calc",#N/A,FALSE,"Calc";"all",#N/A,FALSE,"Corporate costs";"all",#N/A,FALSE,"Corporate costs (2)"}</definedName>
    <definedName name="wrn.Print._.calc." hidden="1">{"print calc",#N/A,FALSE,"Sheet1"}</definedName>
    <definedName name="wrn.Print._.corporate." hidden="1">{"all",#N/A,FALSE,"Corporate costs";"all",#N/A,FALSE,"Corporate costs (2)"}</definedName>
    <definedName name="wrn.print._.flash." hidden="1">{"all",#N/A,FALSE,"FLASH"}</definedName>
    <definedName name="wrn.Print._.report."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wrn.Print._.slides." hidden="1">{"all",#N/A,FALSE,"Vs LE";"ALL",#N/A,FALSE,"Summary"}</definedName>
    <definedName name="wrn.Print_Detail_And_Summary." hidden="1">{"ViewPreCalc",#N/A,TRUE,"PreCalc";"ViewSummary",#N/A,TRUE,"Summary "}</definedName>
    <definedName name="wrn.printall." hidden="1">{"summary",#N/A,FALSE,"Sum";"sum op",#N/A,FALSE,"Sum OP";"op hy",#N/A,FALSE,"Sum OP (HY)";"sum tp",#N/A,FALSE,"Sum TP";"udv",#N/A,FALSE,"UDV";"tpc",#N/A,FALSE,"Pillsbury";"guinness",#N/A,FALSE,"Guinness";"bk",#N/A,FALSE,"BK";"fx",#N/A,FALSE,"FX";"assocs",#N/A,FALSE,"Assoc1";"assocs",#N/A,FALSE,"Assoc2"}</definedName>
    <definedName name="wrn.Pro._.Forma." hidden="1">{#N/A,#N/A,FALSE,"Pro forma"}</definedName>
    <definedName name="wrn.ratios." hidden="1">{"ratios",#N/A,FALSE,"Summary Accounts"}</definedName>
    <definedName name="wrn.sensitivity." hidden="1">{"sensitivity",#N/A,FALSE,"Sensitivity"}</definedName>
    <definedName name="wrn.slides." hidden="1">{"sum op",#N/A,FALSE,"Sum OP";"op hy",#N/A,FALSE,"Sum OP (HY)";"sum tp",#N/A,FALSE,"Sum TP"}</definedName>
    <definedName name="wrn.Summary._.1._.Year." hidden="1">{"One Year",#N/A,FALSE,"Summary"}</definedName>
    <definedName name="wrn.TOTALCACOST." hidden="1">{"CACOST95",#N/A,FALSE,"CACOST_1000";"CA95REPORT",#N/A,FALSE,"CACOST_1000"}</definedName>
    <definedName name="wrn.UTL._.Position." hidden="1">{"UTL effect",#N/A,FALSE,"Sensitivity"}</definedName>
    <definedName name="www" hidden="1">{#N/A,#N/A,FALSE," VAS";#N/A,#N/A,FALSE,"IS";#N/A,#N/A,FALSE,"B&amp;A";#N/A,#N/A,FALSE,"DAssets";#N/A,#N/A,FALSE,"ccare";#N/A,#N/A,FALSE,"ITitems";#N/A,#N/A,FALSE,"Power";#N/A,#N/A,FALSE,"Furniture";#N/A,#N/A,FALSE,"Vehicles";#N/A,#N/A,FALSE,"B. Improv"}</definedName>
    <definedName name="X" hidden="1">{#N/A,#N/A,FALSE,"TB-VAS";#N/A,#N/A,FALSE,"TB-IS";#N/A,#N/A,FALSE,"TB-billing";#N/A,#N/A,FALSE,"TB-Distrbn";#N/A,#N/A,FALSE,"Tb-ccare";#N/A,#N/A,FALSE,"TB-IT";#N/A,#N/A,FALSE,"TB-Power";#N/A,#N/A,FALSE,"TB-F&amp;E";#N/A,#N/A,FALSE,"TB-MV";#N/A,#N/A,FALSE,"TB-L.imprv"}</definedName>
    <definedName name="XX" hidden="1">{#N/A,#N/A,FALSE," VAS";#N/A,#N/A,FALSE,"IS";#N/A,#N/A,FALSE,"B&amp;A";#N/A,#N/A,FALSE,"DAssets";#N/A,#N/A,FALSE,"ccare";#N/A,#N/A,FALSE,"ITitems";#N/A,#N/A,FALSE,"Power";#N/A,#N/A,FALSE,"Furniture";#N/A,#N/A,FALSE,"Vehicles";#N/A,#N/A,FALSE,"B. Improv"}</definedName>
    <definedName name="XXX" hidden="1">{#N/A,#N/A,FALSE,"TB-Radio";#N/A,#N/A,FALSE,"TB-switching";#N/A,#N/A,FALSE,"TB-IN";#N/A,#N/A,FALSE,"TB-Transm";#N/A,#N/A,FALSE,"TB-VAS";#N/A,#N/A,FALSE,"TB-IS";#N/A,#N/A,FALSE,"TB-billing";#N/A,#N/A,FALSE,"TB-Distrbn";#N/A,#N/A,FALSE,"Tb-ccare";#N/A,#N/A,FALSE,"TB-IT";#N/A,#N/A,FALSE,"TB-Power";#N/A,#N/A,FALSE,"TB-F&amp;E";#N/A,#N/A,FALSE,"TB-MV";#N/A,#N/A,FALSE,"TB-L.imprv"}</definedName>
    <definedName name="XXXXX" hidden="1">{#N/A,#N/A,FALSE," VAS";#N/A,#N/A,FALSE,"IS";#N/A,#N/A,FALSE,"B&amp;A";#N/A,#N/A,FALSE,"DAssets";#N/A,#N/A,FALSE,"ccare";#N/A,#N/A,FALSE,"ITitems";#N/A,#N/A,FALSE,"Power";#N/A,#N/A,FALSE,"Furniture";#N/A,#N/A,FALSE,"Vehicles";#N/A,#N/A,FALSE,"B. Improv"}</definedName>
    <definedName name="xxxxxx" hidden="1">{#N/A,#N/A,FALSE," VAS";#N/A,#N/A,FALSE,"IS";#N/A,#N/A,FALSE,"B&amp;A";#N/A,#N/A,FALSE,"DAssets";#N/A,#N/A,FALSE,"ccare";#N/A,#N/A,FALSE,"ITitems";#N/A,#N/A,FALSE,"Power";#N/A,#N/A,FALSE,"Furniture";#N/A,#N/A,FALSE,"Vehicles";#N/A,#N/A,FALSE,"B. Improv"}</definedName>
    <definedName name="xxxxxxxx" hidden="1">{#N/A,#N/A,FALSE," VAS";#N/A,#N/A,FALSE,"IS";#N/A,#N/A,FALSE,"B&amp;A";#N/A,#N/A,FALSE,"DAssets";#N/A,#N/A,FALSE,"ccare";#N/A,#N/A,FALSE,"ITitems";#N/A,#N/A,FALSE,"Power";#N/A,#N/A,FALSE,"Furniture";#N/A,#N/A,FALSE,"Vehicles";#N/A,#N/A,FALSE,"B. Improv"}</definedName>
    <definedName name="Y" hidden="1">{"all",#N/A,FALSE,"Vs LE";"ALL",#N/A,FALSE,"Summary"}</definedName>
    <definedName name="Year1">#REF!</definedName>
    <definedName name="Year1Weight">#REF!</definedName>
    <definedName name="Year2Weight">#REF!</definedName>
    <definedName name="Year3Weight">#REF!</definedName>
    <definedName name="yishak">#REF!</definedName>
    <definedName name="Yr1Consult" localSheetId="1">#REF!</definedName>
    <definedName name="Yr1Consult">#REF!</definedName>
    <definedName name="Yr1FI" localSheetId="1">#REF!</definedName>
    <definedName name="Yr1FI">#REF!</definedName>
    <definedName name="Yr1LocSal">#REF!</definedName>
    <definedName name="Yr1ODC">#REF!</definedName>
    <definedName name="yr1percent">#REF!</definedName>
    <definedName name="Yr1Travel">#REF!</definedName>
    <definedName name="Yr1USPay">#REF!</definedName>
    <definedName name="Yr2Consult">#REF!</definedName>
    <definedName name="Yr2FI">#REF!</definedName>
    <definedName name="Yr2LocSal">#REF!</definedName>
    <definedName name="Yr2ODC">#REF!</definedName>
    <definedName name="yr2percent">#REF!</definedName>
    <definedName name="Yr2Travel">#REF!</definedName>
    <definedName name="Yr2USPay">#REF!</definedName>
    <definedName name="Yr3Consult">#REF!</definedName>
    <definedName name="Yr3FI">#REF!</definedName>
    <definedName name="Yr3LocSal">#REF!</definedName>
    <definedName name="Yr3ODC">#REF!</definedName>
    <definedName name="yr3percent">#REF!</definedName>
    <definedName name="Yr3Travel">#REF!</definedName>
    <definedName name="Yr3USPay">#REF!</definedName>
    <definedName name="Yr4Consult">#REF!</definedName>
    <definedName name="Yr4FI">#REF!</definedName>
    <definedName name="Yr4LocSal">#REF!</definedName>
    <definedName name="Yr4ODC">#REF!</definedName>
    <definedName name="yr4percent">#REF!</definedName>
    <definedName name="Yr4Travel">#REF!</definedName>
    <definedName name="Yr4USPay">#REF!</definedName>
    <definedName name="Yr5Consult">#REF!</definedName>
    <definedName name="Yr5FI">#REF!</definedName>
    <definedName name="Yr5LocSal">#REF!</definedName>
    <definedName name="Yr5ODC">#REF!</definedName>
    <definedName name="yr5percent">#REF!</definedName>
    <definedName name="Yr5Travel">#REF!</definedName>
    <definedName name="Yr5USPay">#REF!</definedName>
    <definedName name="yu" hidden="1">{#N/A,#N/A,FALSE," VAS";#N/A,#N/A,FALSE,"IS";#N/A,#N/A,FALSE,"B&amp;A";#N/A,#N/A,FALSE,"DAssets";#N/A,#N/A,FALSE,"ccare";#N/A,#N/A,FALSE,"ITitems";#N/A,#N/A,FALSE,"Power";#N/A,#N/A,FALSE,"Furniture";#N/A,#N/A,FALSE,"Vehicles";#N/A,#N/A,FALSE,"B. Improv"}</definedName>
    <definedName name="yuuuuuuu" hidden="1">{"ratios",#N/A,FALSE,"Summary Accounts"}</definedName>
    <definedName name="YYYYY" hidden="1">{#N/A,#N/A,FALSE,"TB-VAS";#N/A,#N/A,FALSE,"TB-IS";#N/A,#N/A,FALSE,"TB-billing";#N/A,#N/A,FALSE,"TB-Distrbn";#N/A,#N/A,FALSE,"Tb-ccare";#N/A,#N/A,FALSE,"TB-IT";#N/A,#N/A,FALSE,"TB-Power";#N/A,#N/A,FALSE,"TB-F&amp;E";#N/A,#N/A,FALSE,"TB-MV";#N/A,#N/A,FALSE,"TB-L.imprv"}</definedName>
    <definedName name="yyyyyy" hidden="1">{"p_l",#N/A,FALSE,"Summary Accounts"}</definedName>
    <definedName name="Z_2C0EBF26_03D8_4655_ADE0_D983B90C533C_.wvu.PrintArea" hidden="1">#REF!</definedName>
    <definedName name="Z_3AA9B779_9FFE_4B99_A3E4_61EB415D9DB8_.wvu.PrintArea" hidden="1">#REF!</definedName>
    <definedName name="Z_4FC45848_D598_11D4_A367_0050DABB7AF0_.wvu.PrintArea" hidden="1">#REF!</definedName>
    <definedName name="Z_60362E38_49EC_4B44_8FA8_9B1B243B8014_.wvu.PrintArea" hidden="1">#REF!</definedName>
    <definedName name="Z_83AE8DA7_8698_48D7_8DCE_97A773C881B0_.wvu.PrintArea" hidden="1">#REF!</definedName>
    <definedName name="Z_9A0B9AB4_B937_4A56_A7AE_F419F939252C_.wvu.PrintArea" hidden="1">#REF!</definedName>
    <definedName name="Z_9BC087A0_2A0A_4D42_A8B3_34D2C81B427E_.wvu.PrintArea" hidden="1">#REF!</definedName>
    <definedName name="Z_E60CC575_1F45_4FAF_835B_800319184A7E_.wvu.PrintArea" hidden="1">#REF!</definedName>
    <definedName name="Z_FCBCDD22_62DD_44EC_BFA3_3C442CCC2FC0_.wvu.PrintArea" hidden="1">#REF!</definedName>
    <definedName name="zerodata">#REF!</definedName>
    <definedName name="zerodata2">#REF!</definedName>
    <definedName name="_xlnm.Print_Area" localSheetId="1">#REF!</definedName>
    <definedName name="_xlnm.Print_Area">#REF!</definedName>
    <definedName name="zxcvx" hidden="1">{"sum",#N/A,FALSE,"Summary";"admin1",#N/A,FALSE,"Admin";"admin2",#N/A,FALSE,"Admin";"admin3",#N/A,FALSE,"Admin";"nat",#N/A,FALSE,"Natugo";"irri1",#N/A,FALSE,"Irrigation";"irri2",#N/A,FALSE,"Irrigation";"oil1",#N/A,FALSE,"Press and Sesame";"oil2",#N/A,FALSE,"Press and Sesame";"stove1",#N/A,FALSE,"Stove";"stove2",#N/A,FALSE,"Stove"}</definedName>
    <definedName name="zzzz" hidden="1">{#N/A,#N/A,FALSE,"TB-VAS";#N/A,#N/A,FALSE,"TB-IS";#N/A,#N/A,FALSE,"TB-billing";#N/A,#N/A,FALSE,"TB-Distrbn";#N/A,#N/A,FALSE,"Tb-ccare";#N/A,#N/A,FALSE,"TB-IT";#N/A,#N/A,FALSE,"TB-Power";#N/A,#N/A,FALSE,"TB-F&amp;E";#N/A,#N/A,FALSE,"TB-MV";#N/A,#N/A,FALSE,"TB-L.imprv"}</definedName>
    <definedName name="zzzzzzzzzzzzzzzz" hidden="1">{"'CAPEX'!$E$41"}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0" l="1"/>
  <c r="E26" i="10"/>
  <c r="B26" i="10"/>
  <c r="I21" i="10"/>
  <c r="C22" i="10" s="1"/>
  <c r="H2" i="10"/>
  <c r="M955" i="7" l="1"/>
  <c r="M954" i="7"/>
  <c r="M953" i="7"/>
  <c r="M952" i="7"/>
  <c r="M951" i="7"/>
  <c r="M950" i="7"/>
  <c r="M949" i="7"/>
  <c r="M948" i="7"/>
  <c r="M947" i="7"/>
  <c r="M946" i="7"/>
  <c r="M943" i="7"/>
  <c r="M942" i="7"/>
  <c r="M941" i="7"/>
  <c r="M940" i="7"/>
  <c r="M939" i="7"/>
  <c r="M938" i="7"/>
  <c r="M937" i="7"/>
  <c r="M936" i="7"/>
  <c r="M933" i="7"/>
  <c r="M932" i="7"/>
  <c r="M931" i="7"/>
  <c r="M930" i="7"/>
  <c r="M929" i="7"/>
  <c r="M928" i="7"/>
  <c r="M927" i="7"/>
  <c r="M926" i="7"/>
  <c r="M925" i="7"/>
  <c r="M924" i="7"/>
  <c r="M923" i="7"/>
  <c r="M920" i="7"/>
  <c r="M919" i="7"/>
  <c r="M918" i="7"/>
  <c r="M917" i="7"/>
  <c r="M916" i="7"/>
  <c r="M915" i="7"/>
  <c r="M914" i="7"/>
  <c r="M913" i="7"/>
  <c r="M912" i="7"/>
  <c r="M911" i="7"/>
  <c r="M910" i="7"/>
  <c r="M909" i="7"/>
  <c r="M905" i="7"/>
  <c r="M904" i="7"/>
  <c r="M901" i="7"/>
  <c r="M900" i="7"/>
  <c r="M899" i="7"/>
  <c r="M896" i="7"/>
  <c r="M895" i="7"/>
  <c r="M892" i="7"/>
  <c r="M889" i="7"/>
  <c r="M888" i="7"/>
  <c r="M885" i="7"/>
  <c r="M884" i="7"/>
  <c r="M883" i="7"/>
  <c r="M882" i="7"/>
  <c r="M879" i="7"/>
  <c r="M878" i="7"/>
  <c r="M875" i="7"/>
  <c r="M874" i="7"/>
  <c r="M873" i="7"/>
  <c r="M870" i="7"/>
  <c r="M869" i="7"/>
  <c r="M868" i="7"/>
  <c r="M865" i="7"/>
  <c r="M864" i="7"/>
  <c r="M863" i="7"/>
  <c r="M862" i="7"/>
  <c r="M859" i="7"/>
  <c r="M858" i="7"/>
  <c r="M857" i="7"/>
  <c r="M856" i="7"/>
  <c r="M853" i="7"/>
  <c r="M852" i="7"/>
  <c r="M851" i="7"/>
  <c r="M850" i="7"/>
  <c r="M849" i="7"/>
  <c r="M848" i="7"/>
  <c r="M847" i="7"/>
  <c r="M846" i="7"/>
  <c r="M845" i="7"/>
  <c r="M844" i="7"/>
  <c r="M841" i="7"/>
  <c r="M840" i="7"/>
  <c r="M839" i="7"/>
  <c r="M838" i="7"/>
  <c r="M837" i="7"/>
  <c r="M835" i="7"/>
  <c r="M834" i="7"/>
  <c r="M833" i="7"/>
  <c r="M832" i="7"/>
  <c r="F827" i="7"/>
  <c r="F755" i="7"/>
  <c r="D755" i="7"/>
  <c r="F706" i="7"/>
  <c r="N493" i="7"/>
  <c r="N492" i="7"/>
  <c r="F492" i="7"/>
  <c r="E473" i="7"/>
  <c r="M438" i="7"/>
  <c r="O322" i="7"/>
  <c r="I242" i="7"/>
  <c r="F242" i="7"/>
  <c r="I171" i="7"/>
  <c r="N171" i="7" s="1"/>
  <c r="F171" i="7"/>
  <c r="N155" i="7"/>
  <c r="F155" i="7"/>
  <c r="N103" i="7"/>
  <c r="F103" i="7"/>
  <c r="F63" i="7"/>
  <c r="F61" i="7"/>
  <c r="M6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16" authorId="0" shapeId="0" xr:uid="{F4AC3827-F056-427A-AB78-2D43AAB1B846}">
      <text>
        <r>
          <rPr>
            <sz val="11"/>
            <color theme="1"/>
            <rFont val="Calibri"/>
            <family val="2"/>
            <scheme val="minor"/>
          </rPr>
          <t>3000 for linkage and 1000 for transport
	-USER</t>
        </r>
      </text>
    </comment>
    <comment ref="E131" authorId="0" shapeId="0" xr:uid="{7E8D5CAC-C30B-4329-B0DE-3DFAF9446A69}">
      <text>
        <r>
          <rPr>
            <sz val="11"/>
            <color theme="1"/>
            <rFont val="Calibri"/>
            <family val="2"/>
            <scheme val="minor"/>
          </rPr>
          <t>2 District Health service Staff/mentor
	-Tebong Fon</t>
        </r>
      </text>
    </comment>
  </commentList>
</comments>
</file>

<file path=xl/sharedStrings.xml><?xml version="1.0" encoding="utf-8"?>
<sst xmlns="http://schemas.openxmlformats.org/spreadsheetml/2006/main" count="4163" uniqueCount="1796">
  <si>
    <t>Requester</t>
  </si>
  <si>
    <t>Objectives</t>
  </si>
  <si>
    <t>Program Priority</t>
  </si>
  <si>
    <t>Strategies</t>
  </si>
  <si>
    <t>Activities</t>
  </si>
  <si>
    <t>Frequency</t>
  </si>
  <si>
    <t>#MOH Facilitators</t>
  </si>
  <si>
    <t># MOH Particitants</t>
  </si>
  <si>
    <t>Perdiem MOH participants</t>
  </si>
  <si>
    <t>Perdiem MOH fcailitators</t>
  </si>
  <si>
    <t># Shwari staff</t>
  </si>
  <si>
    <t>Perdiem shwari staff</t>
  </si>
  <si>
    <t>#days</t>
  </si>
  <si>
    <t>Transport</t>
  </si>
  <si>
    <t>Hall</t>
  </si>
  <si>
    <t>#Participants</t>
  </si>
  <si>
    <t>Material</t>
  </si>
  <si>
    <t>Catering</t>
  </si>
  <si>
    <t>Rapid start-up activities</t>
  </si>
  <si>
    <t>Cross-cutting Strategies and Activities</t>
  </si>
  <si>
    <t>Hold stakeholders’ engagement and launch meeting at National/Regional levels</t>
  </si>
  <si>
    <t>Strategy 1: Provide sustainable, quality, comprehensive, and tailored services across the clinical cascade for all PLHIV and at -risk populations to ensure equitable epidemic control</t>
  </si>
  <si>
    <t>Undertake transition activities with GU and CDC</t>
  </si>
  <si>
    <t>Stakeholder engagement with MOH/NACC/RTGs</t>
  </si>
  <si>
    <t xml:space="preserve">Strategy 2: Strengthen &amp; provide support using QA and QI methodologies to optimize service delivery, inventory management, and M&amp;E to ensure continuity of evidence-based client-centered care						</t>
  </si>
  <si>
    <t>Microplaning  with CDC (Yaounde &amp; Douala)</t>
  </si>
  <si>
    <t>Stakeholder engagement with Regional Governors (Centre &amp; East)</t>
  </si>
  <si>
    <t xml:space="preserve">Strategy 3: Develop innovative, complementary, and sustainable health system strengthening initiatives with MOH to align with international guidelines, best practices to ensure quality, well-documented, services and systems at all levels </t>
  </si>
  <si>
    <t>Microplanning with Districts, Key Facilities and other key stakeholders</t>
  </si>
  <si>
    <t>Strategy 4: Leverage and adapt existing systems to respond to public health threats and priorities for PLHIV</t>
  </si>
  <si>
    <t>Conduct Initial Assessments: Baseline data collection for the project's key metrics.</t>
  </si>
  <si>
    <t>Follow up on recommendations of the preliminary assessment (Corrective plan)</t>
  </si>
  <si>
    <t>Organise and hold a microplanning meeting with MoH/NACC/CDC etc</t>
  </si>
  <si>
    <t>Hire staff and orient them in our implementation strategy</t>
  </si>
  <si>
    <t>Organise and hold a microplanning meeting with all supported districts and key facilities</t>
  </si>
  <si>
    <t>orient and mentor facility staff in data utilization</t>
  </si>
  <si>
    <t>support sites to review previous SIMS/DQA and generate an action plan to resolve gaps identified</t>
  </si>
  <si>
    <t>Implement CQI in all supported facilities</t>
  </si>
  <si>
    <t>Community engagement in HIV response to foster participation and service acceptance</t>
  </si>
  <si>
    <t>support and monitor the implementation of corrective action plans</t>
  </si>
  <si>
    <t>Implement CLM feedback and reports to foster client-centeredness</t>
  </si>
  <si>
    <t>Training and mentorship of HCW and other cadres involved in HIV response in all aspects of HIV care based on the gaps identified</t>
  </si>
  <si>
    <t>Support integration of service delivery at both facility and community levels</t>
  </si>
  <si>
    <t>Implement stigma reduction activities both at community and facility levels</t>
  </si>
  <si>
    <t>Case Finding</t>
  </si>
  <si>
    <t>A1: Adolescent case finding: Achieve 95% of adolescent girls and boys who know their HIV status</t>
  </si>
  <si>
    <t>B1: MEN'S CARE</t>
  </si>
  <si>
    <t>C1: HIV Recency surveillance: Expand HIV recency surveillance and data use in Cameroon</t>
  </si>
  <si>
    <t>D1: Targeted testing at facility and community level: Validate the screening tool and intensify targeted testing at all facility entry points and community</t>
  </si>
  <si>
    <t xml:space="preserve">E1: Improve access to quality HIV prevention, Care and treatment services for people in prisons &amp; Persons in closed settings </t>
  </si>
  <si>
    <t>E2: Improve access to quality HIV prevention, Care and treatment services for Walk-in KPs (MSM,FSW, TG and PWID)</t>
  </si>
  <si>
    <t>E3: AGYM/ABYM and PP</t>
  </si>
  <si>
    <t>A1.1 Expand youth and adolescent friendly strategies to reach and test them where they live and school including adolescent friendly corners, testing at workshops, index testing, self-testing, PITC, VCT etc.</t>
  </si>
  <si>
    <t>A1.2 Pilot youth network testing (YNT) in high-risk youth networks</t>
  </si>
  <si>
    <t>Adult CARE AND TREATMENT</t>
  </si>
  <si>
    <t>A1.3 Intensify facility-led community testing to reach and test youths and adolescents where they live and work</t>
  </si>
  <si>
    <t>F1: Patient retention in care/continuity of treatment: Ensure that individuals diagnosed with HIV remain engaged in continuous and comprehensive medical care, adhere to their antiretroviral therapy (ART), and achieve and maintain viral suppression</t>
  </si>
  <si>
    <t>G1: Pharmacovigilance and Drug resistance surveillance: Ensure the safe and effective use of antiretroviral (ARV) drugs by systematically monitoring, assessing, understanding, and preventing adverse drug reactions (ADRs) and resistance (HIV-DR)</t>
  </si>
  <si>
    <t>B1.1 Expand male friendly strategies to reach and test men where they live and work including male friendly corners, testing at workplaces, index testing, self-testing</t>
  </si>
  <si>
    <t>H1: Improve Viral load uptake and Coverage, while ensuring optimal Clinical management of 100% patients with HVL and resistance.</t>
  </si>
  <si>
    <t>B1.2 Intensify facility-led community testing to reach and test young and older men where they live and work</t>
  </si>
  <si>
    <t>I1: Advanced HIV disease Management: Reduce AIDS-related deaths due to AHD by putting in place an eco-system of proficient Advanced HIV Disease Centers of Excellence across the national territory to provide quality services to PLHIV with AHD</t>
  </si>
  <si>
    <t>B1.3 Pilot male network testing (MNT) in high-risk men</t>
  </si>
  <si>
    <t>J1: Non-Communicable Diseases / Mental Health integrated to HIV program: Improve overall health outcomes, quality of life, and longevity for PLHIV by provide comprehensive, holistic care that addresses both HIV and the increasing burden of NCDs among people living with HIV (PLHIV)</t>
  </si>
  <si>
    <t xml:space="preserve">PMTCT </t>
  </si>
  <si>
    <t>K1: Operationalize District Based Approach to close the gap for mothers and children &amp; Enhance Triple Elimination of Mother to Child transmission of HIV/Syphilis/Hepatitis</t>
  </si>
  <si>
    <t>C1.2 Offer HIV recency testing to all newly tested HIV positive clients in selected facilities</t>
  </si>
  <si>
    <t>K2: Expand maternal and Child longitudinal Cohort Monitoring: Improve tracking and retention of both HIV_x0002_positive mothers and HIV-exposed infants through longitudinal monitoring of the mothers - infants pair to ensure they receive uninterrupted care during pregnancy and breastfeeding till final outcome</t>
  </si>
  <si>
    <t>C1.3 Optimize recency surveillance data use in integration with other surveillance methods.</t>
  </si>
  <si>
    <t>L1: Rollout Operation Triple Zero Plus: Improve treatment outcomes for Pregnant and breastfeeding girls and young women living with HIV at Antenatal (ANC) and prevention of mother to-child HIV transmission (PMTCT) care with the additional goal of zero HIV-positive infants</t>
  </si>
  <si>
    <t>PEDIATRIC and Adolescent</t>
  </si>
  <si>
    <t>M1: Expand Pediatric Centers of Excellence: To equip healthcare providers with the clinical knowledge, skills and attitudes needed to achieve competency and confidence in the provision of quality care to children and adolescents</t>
  </si>
  <si>
    <t>D1.1 Validate the risk screening tool and adapt according to findings</t>
  </si>
  <si>
    <t>M2: Pediatric Retention and Continuity of Treatment: Ensure all children diagnosed with HIV remain engaged in continuous and comprehensive medical care, adhere to their antiretroviral therapy (ART), and achieve and maintain viral suppression</t>
  </si>
  <si>
    <t>D1.2 Offer PITC using the revised screening tool to all clients visiting health facilities</t>
  </si>
  <si>
    <t>N3: Pediatric Retention and Continuity of Treatment: To improve treatment outcomes for adolescents and young people (10 24 years) living with HIV through implementation of asset based approach</t>
  </si>
  <si>
    <t>D1.3 Intensify community testing strategies to reach and test hard to reach populations by allocating 20-30% HTS resources to community testing</t>
  </si>
  <si>
    <t>N1: HPV vaccination integrated to HIV program: Improve boy's and girl's health outcomes by integrating Human Papillomavirus (HPV) vaccination into the existing HIV program in Cameroon</t>
  </si>
  <si>
    <t>D1.4 roll out the new national HIV Testing Algorithm (3-tests algorithm)</t>
  </si>
  <si>
    <t>O1: Youth Initiative: Strengthen youth-focused HIV leadership, promote innovation in HIV prevention, case finding, and treatment outcomes and recognize young people's contribution towards attaining the 95-95-95 targets by 2030.</t>
  </si>
  <si>
    <t>TB/HIV Integration</t>
  </si>
  <si>
    <t>E1.1 Improve access to quality HIV prevention, Care and treatment services for people in prisons &amp; Persons in closed settings</t>
  </si>
  <si>
    <t>P1: TB Case finding: Identify TB cases among PLHIV and the general population</t>
  </si>
  <si>
    <t>E1.2 Optimize STI Screening, GBV Screening and referal for treatment for prisoners</t>
  </si>
  <si>
    <t>P2: TB Preventive Treatment: Augment TPT coverage to 90% among PLHIV on ART in PEPFAR-supported sites</t>
  </si>
  <si>
    <t>E2.1 Improve access to quality HIV prevention, Care and treatment services for Walk-in KPs (MSM,FSW, TG and PWID)</t>
  </si>
  <si>
    <t>S1: Kick-off M&amp;E activities</t>
  </si>
  <si>
    <t>E2.2 Implement social network testing (SNS) as a differentiated testing option for KPs and PPs with high risk of HIV infection</t>
  </si>
  <si>
    <t>S2: Monitor availability and use of paper tools (patient files, national registers and SOPs)</t>
  </si>
  <si>
    <t>S3: Facilitate the institutionalization of data management activities in all facilities</t>
  </si>
  <si>
    <t>E2.4 support HANDSHAKE model</t>
  </si>
  <si>
    <t>S4: Ensure functional health information management systems at site and above site for program and patient monitoring, management, reporting and evaluations</t>
  </si>
  <si>
    <t>E2.5 Demand creation, raising awareness and knowledge on use of condoms and lubricants in the community</t>
  </si>
  <si>
    <t>S5: Ensure timely and complete reporting for program monitoring and management</t>
  </si>
  <si>
    <t>S6: Enhance data quality and Information use</t>
  </si>
  <si>
    <t>E2.7 scale up access to PrEP for eligible clients</t>
  </si>
  <si>
    <t xml:space="preserve">S7: SIMS Assessment </t>
  </si>
  <si>
    <t>E2.8 PrEP Demand Creation</t>
  </si>
  <si>
    <t>S8: Program Evaluation</t>
  </si>
  <si>
    <t>S9: MOH Engagement</t>
  </si>
  <si>
    <t>E3.1 Optimize and integrated package of activities targeting AGYW/ABYM/PP in facilities in the Zone 3</t>
  </si>
  <si>
    <t>E3.2 Optimize and integrated package of activities targeting AGYW/ABYM/PP in schools and communities</t>
  </si>
  <si>
    <t>Implement a Comprehensive District-Based Approach to Decentralize PMTCT Services</t>
  </si>
  <si>
    <t>Support TB Infection Prevention and Control (TB-IPC) measures</t>
  </si>
  <si>
    <t>E4.1 Identify and Ensure 100% re-engagement on ART, of known positives who present for re-testing</t>
  </si>
  <si>
    <t>Support the MOH to Maintain National Standards in Service Delivery through Quality Improvement</t>
  </si>
  <si>
    <t>Develop a national quality improvement (QI) framework.</t>
  </si>
  <si>
    <t>Disseminate and Implement Updated National Guidelines</t>
  </si>
  <si>
    <t>Strengthen Supply Chain Systems for HIV Commodities</t>
  </si>
  <si>
    <t>F1.1 Intensify patient treatment literacy to all PLHIV to understand HIV, the importance of ART adherence, and self-care practices</t>
  </si>
  <si>
    <t>Build M&amp;E Capacity Across MOH Levels</t>
  </si>
  <si>
    <t>F1.2 Roll out of the new HIV Guidelines</t>
  </si>
  <si>
    <t>Implement Robust SI Approaches for Data-Driven Decision-Making</t>
  </si>
  <si>
    <t>F1.3 Continuous Engagement in Care by minimizing interruption in treatment through continuous patient tracking and waterfall analysis</t>
  </si>
  <si>
    <t>Design Strategic Information Approaches to Improve Policies and HIV/AIDS Programs</t>
  </si>
  <si>
    <t>F1.4 Adherence to Treatment: Scale up to 80% DSD model implementation in urban and rural settings between October 2024 and September 2025 and ensure provision of tailored DSD models are offered to PLHIV to enhance VL testing and suppression</t>
  </si>
  <si>
    <t>Develop Systems to Strengthen Monitoring and Evaluation (M&amp;E) Systems for HIV/AIDS Program Implementation</t>
  </si>
  <si>
    <t>F1.5 Enhance community ART partnership for treatment referral</t>
  </si>
  <si>
    <t>Support Information Systems Development and Implementation</t>
  </si>
  <si>
    <t>G1.1 Monitoring and reporting of drug side effects and therapeutic failure on 100% of patients on ART, especially those on DTG-based protocol.</t>
  </si>
  <si>
    <t>Strengthen Facility-Community Structures to Support TB Treatment and Retention</t>
  </si>
  <si>
    <t>H1.1 Clinical management of 100% patients with HVL and resistance.</t>
  </si>
  <si>
    <t>Support Capacity Building of FBOs, CBOs, Local, and Youth-led Organizations</t>
  </si>
  <si>
    <t>H1.2 Monitoring and reporting 100% of patients switching to second and third-line regimen.</t>
  </si>
  <si>
    <t>H1.3 Enhance Viral Load literacy and Support initiatives aimed at strengthening U=U messaging</t>
  </si>
  <si>
    <t>Develop and implement Infection Prevention and Control (IPC) initiatives at PEPFAR-supported facilities</t>
  </si>
  <si>
    <t>H1.4 Support VL diagnostics to improve VL uptake and coverage</t>
  </si>
  <si>
    <t>I1.1 Strengthen healthcare providers' capacity for the diagnosis and management of AHD, including supply chain management and implement mortality surveillance among PLHIV on ART.</t>
  </si>
  <si>
    <t>Implement biosafety, biosecurity, and waste management measures at health facilities</t>
  </si>
  <si>
    <t>I1.2 Establish a hub-and-spoke system between high- and low-volume sites to identify and manage AHD cases.</t>
  </si>
  <si>
    <t>Support MOH in implementing injection safety measures</t>
  </si>
  <si>
    <t>I1.3 Establish a functional diagnostic and referral network for AHD cases, including an updated CD4 platform mapping.</t>
  </si>
  <si>
    <t>I1.4 Implement comprehensive care and support for AHD nationwide (integration of TB/HIV, Mental health, and reproductive health) with a strong community involvement (Traditional and religious leaders).</t>
  </si>
  <si>
    <t>J1.1 Develop and validate a nationwide action plan on NCD/MH management and integration among PLHIV in September 2025.</t>
  </si>
  <si>
    <t>J1.2 Strengthen Healthcare providers by capacity building and supply chain management.</t>
  </si>
  <si>
    <t>J1.3 Screen, manage and document 100% NCD/MH among PLHIV by September 2025.</t>
  </si>
  <si>
    <t>K1.1 Scale-up ANC/PMTCT MCH services to 80% of government-recognized ANC facilities</t>
  </si>
  <si>
    <t>K1.2 Support implementation of the District Based Approach to close the gap for mothers and children</t>
  </si>
  <si>
    <t>K1.3 roll out implementation of the Triple elimination of Mother to Child transmission of HIV/Syphilis/Hepatitis</t>
  </si>
  <si>
    <t>K1.4 Increase to 95% the proportion pregnant women tested for HIV who know their status and those living with HIV who receive life saving ARV treatment according to national guidelines</t>
  </si>
  <si>
    <t>K1.5 Increase the proportion of HIV-exposed infants (HEI) who receive appropriate prophylaxis to 100% and Increase the percentage of HEI who are tested (PCR) for HIV by 2 months of birth to 100% and ensure at least 100% of those diagnosed positive receive antiretroviral treatment</t>
  </si>
  <si>
    <t>K2.1 Train and mentor health care providers offering PMTCT services to implement longitudinal Cohort monitoring of mother-infant pair to improve on maternal retention on ART hence getting to viral suppression and Strengthen partnership with CHCWs, TBAs etc</t>
  </si>
  <si>
    <t>K2.2 Ensure availability and completion of longitudinal Cohort monitoring registers for the mother-infant pair</t>
  </si>
  <si>
    <t>K2.3 Strengthen Monitoring and evaluation to ensure longitudinal monitoring of the HIV-exposed infant (HEI) until complete documentation and reporting of final outcome which is HIV status by 18 -24 months</t>
  </si>
  <si>
    <t>K2.4 Provide VL testing to all HIV+ PBFW according to national guidelines and strengthen the management of HVL</t>
  </si>
  <si>
    <t>L1.1 Create a favorable environment for the implementation of OTZ plus activities for PBF-AGYW and their Partners</t>
  </si>
  <si>
    <t>L1.2 Offer the Operation Triple Zero plus package to meet the prevention, treatment and care needs for PBF_x0002_AGYW and their Partners</t>
  </si>
  <si>
    <t>L1.4 Scale up implementation of mother-mentor strategy to offer HIV services to PBF-AGYW, their Partners and children</t>
  </si>
  <si>
    <t>M1.1 Expand Pediatric care through implementation of a District Hub and Spoke Mentorship Model in the 2 region</t>
  </si>
  <si>
    <t>M1.2 Implement a targeted DSD HIV case finding strategies for children and adolescent (e.g., provider-initiated testing and counselling within health facilities, optimization of early infant diagnosis, index case testing, family-based testing as well as orphans and vulnerable children's programs)</t>
  </si>
  <si>
    <t>M1.3 Finding Every Child (FECh): Community-based data driven case finding implementation, an extension of the pediatric surge</t>
  </si>
  <si>
    <t>M1.4 Scale up implementation of a comprehensive and holistic clinical package of care including DSD service delivery package for children and adolescents and management of advanced HIV disease.</t>
  </si>
  <si>
    <t>M1.5 Ensure every HIV + child identified is initiated on most optimized and apropriate formulation considering possibilities of resistance due to prior ART exposure</t>
  </si>
  <si>
    <t>M2.2 Intensify tracking of children who missed appointments, and/or lost to follow up</t>
  </si>
  <si>
    <t>M2.3 Strengthen facility-community collaboration to improve outcomes for CALHIV including OVCs</t>
  </si>
  <si>
    <t>N1.1 Provide HPV vaccination to&gt;90% of children/adolescents living with HIV aged 9-14 years (born between 2010 and 2014) in all PEPFAR Facilities by Sep 2025.</t>
  </si>
  <si>
    <t>N1.2 Provide HPV vaccination to &gt;50% of siblings of children /adolescents living with HIV aged 9 -14 years (or born in 2015) in all PEPFAR Facilities between Oct 2024 and Sep 2025.</t>
  </si>
  <si>
    <t>N3.1 Implement the Operation Triple Zero strategy to enhance adherence to treatment and viral load suppression for adolescents and young people living with HIV</t>
  </si>
  <si>
    <t>N3.2 Scale up implementation of GBV and other DSD service delivery models for adolescents and young people</t>
  </si>
  <si>
    <t>N3.3 Implement strategies using media communication technologies to reach adolescents and young people with prevention messages (100% jeunes, among youths, U-reporting, picnics, social networking, etc.)</t>
  </si>
  <si>
    <t>O1.1 Strengthen youth-focused HIV leadership, engagement and ownership</t>
  </si>
  <si>
    <t>O1.2 Strengthen organizational capacity of youth led organizations involved in HIV prevention, treatment and care</t>
  </si>
  <si>
    <t>O1.3 Promote innovation in HIV prevention, case finding, and treatment programming outcomes and recognize young people's contribution towards attaining the 95-95-95 targets by 2030</t>
  </si>
  <si>
    <t>P1.1 Intensified TB case Finding (ICF) at facility entry points and outreach activities. Increase TB screening positivity rates among PLHIV from 1% to 5% through updated national guidelines, WHO-recommended screening algorithms, healthcare provider training, and advanced screening/diagnostics like Gene Xpert, CAD-AI digital X-rays</t>
  </si>
  <si>
    <t>P1.2 Increase the percentage of TB samples sent to the lab  to 95% by enabling stand-alone ART clinics to effectively collect and transport TB samples to reference laboratories through an integrated sample transport system.</t>
  </si>
  <si>
    <t>P1.3 Increase the percentage of PLHIV with suspected TB who are tested using molecular diagnostics (GeneXpert) from 46% to 80%.</t>
  </si>
  <si>
    <t>P1.4 Conduct an assesment of the initial rollout phase of the 3-HP regimen</t>
  </si>
  <si>
    <t>P2.1 Scale up the implementation of the 3-HP regimen for eligible PLHIV across all 2 regions( Center and East).</t>
  </si>
  <si>
    <t>P2.2 Launch intensive catch-up campaigns for TPT (INH and 3-HP) across all PEPFAR-supported facilities.</t>
  </si>
  <si>
    <t>P2.3 Integrate TB screening in facility outreach and routine community health workers’ activities in supported districts</t>
  </si>
  <si>
    <t xml:space="preserve">P2.4 Intensify pediatric TB case finding in all facility entry points </t>
  </si>
  <si>
    <t>P2.5 Intensify contact tracing of household contacts below 5 years of PLHIV with confirmed pulmonary TB</t>
  </si>
  <si>
    <t>S1.1 Initial site visit</t>
  </si>
  <si>
    <t>S1.2 Initial training, workshop and capacitations</t>
  </si>
  <si>
    <t>S2.1 Provide and monitor the use of SOPs and tools for M&amp;E</t>
  </si>
  <si>
    <t>S3.1 Strenghten the use of Electronic data system at facility</t>
  </si>
  <si>
    <t>S3.2 Coordination activities</t>
  </si>
  <si>
    <t>S3.3 Build capacity of staff to provide appropriate M&amp;E services</t>
  </si>
  <si>
    <t>S4.1 System functionality and updating</t>
  </si>
  <si>
    <t>S5.1 Daily and weekly reporting for active monitoring</t>
  </si>
  <si>
    <t>S5.2 Produce Quarterly, semi-annual and Annual Reports</t>
  </si>
  <si>
    <t>S6.1 Data validation activities at site level</t>
  </si>
  <si>
    <t>S6.2 Data validation activities at Regional  and National level</t>
  </si>
  <si>
    <t>S6.3 Data Quality Assessment</t>
  </si>
  <si>
    <t>S6.4 Develop dashboards and share access</t>
  </si>
  <si>
    <t>S6.5 Strengthen DDIU (Data Demand and Information Use) at site</t>
  </si>
  <si>
    <t>S6.6 Capacity Building programme</t>
  </si>
  <si>
    <t>S6.7 Data validation and review with other partners</t>
  </si>
  <si>
    <t>S7.1 Perform Internal SIMS</t>
  </si>
  <si>
    <t>S7.2 Follow up SIMS visit</t>
  </si>
  <si>
    <t>S8.1 Program Evaluation</t>
  </si>
  <si>
    <t>S9.1 MOH Engagement</t>
  </si>
  <si>
    <t>HSS 1.1 Implement a Comprehensive District-Based Approach to Decentralize PMTCT Services</t>
  </si>
  <si>
    <t>HSS 1.2 Develop Strategies to Improve Core Health System Strengthening Functions</t>
  </si>
  <si>
    <t>HSS1.3 Support the MOH to Maintain National Standards in Service Delivery through Quality Improvement</t>
  </si>
  <si>
    <t>HSS 1.4 Develop a national quality improvement (QI) framework.</t>
  </si>
  <si>
    <t>HSS 1.5 Disseminate and Implement Updated National Guidelines</t>
  </si>
  <si>
    <t>HSS 1.6 Strengthen Supply Chain Systems for HIV Commodities</t>
  </si>
  <si>
    <t>HSS 1.7 Build M&amp;E Capacity Across MOH Levels</t>
  </si>
  <si>
    <t>HSS 1.8 Implement Robust SI Approaches for Data-Driven Decision-Making</t>
  </si>
  <si>
    <t>HSS 1.9 Design Strategic Information Approaches to Improve Policies and HIV/AIDS Programs</t>
  </si>
  <si>
    <t>HSS 1.10 Develop Systems to Strengthen Monitoring and Evaluation (M&amp;E) Systems for HIV/AIDS Program Implementation</t>
  </si>
  <si>
    <t>HSS 1.11 Support Information Systems Development and Implementation</t>
  </si>
  <si>
    <t>HSS 1.12 Strengthen Facility-Community Structures to Support TB Treatment and Retention</t>
  </si>
  <si>
    <t>HSS 1.13 Support Capacity Building of FBOs, CBOs, and Local Organizations</t>
  </si>
  <si>
    <t>PHT 1.1 Develop and implement Infection Prevention and Control (IPC) initiatives at PEPFAR-supported facilities</t>
  </si>
  <si>
    <t>PHT 1.2 Support TB Infection Prevention and Control (TB-IPC) measures</t>
  </si>
  <si>
    <t>PHT 1.3 Implement biosafety, biosecurity, and waste management measures at health facilities</t>
  </si>
  <si>
    <t>PHT 1.4 Support MOH in implementing injection safety measures</t>
  </si>
  <si>
    <t>No of attendees</t>
  </si>
  <si>
    <t>Attendee Transport cost</t>
  </si>
  <si>
    <t xml:space="preserve">Attendee Daily Logding </t>
  </si>
  <si>
    <t>Attendee Per Diem</t>
  </si>
  <si>
    <t>Days Per Activity</t>
  </si>
  <si>
    <t>Facilitator Fee(s)</t>
  </si>
  <si>
    <t>Cost of Venue</t>
  </si>
  <si>
    <t>Cost of materials</t>
  </si>
  <si>
    <t>Budget per Activity</t>
  </si>
  <si>
    <t>Key performance indicator</t>
  </si>
  <si>
    <t>Budget Codes</t>
  </si>
  <si>
    <t>STP1</t>
  </si>
  <si>
    <t>Tasks</t>
  </si>
  <si>
    <t>STP1.1</t>
  </si>
  <si>
    <t>STP1.2</t>
  </si>
  <si>
    <t>STP2</t>
  </si>
  <si>
    <t>STP3</t>
  </si>
  <si>
    <t>STP3.1</t>
  </si>
  <si>
    <t>STP4</t>
  </si>
  <si>
    <t>STP4.1</t>
  </si>
  <si>
    <t>STP5</t>
  </si>
  <si>
    <t>STP5.1</t>
  </si>
  <si>
    <t>STP6</t>
  </si>
  <si>
    <t>STP6.1</t>
  </si>
  <si>
    <t>STP7</t>
  </si>
  <si>
    <t>CrC01</t>
  </si>
  <si>
    <t>CrC02</t>
  </si>
  <si>
    <t>CrC03</t>
  </si>
  <si>
    <t>CrC04</t>
  </si>
  <si>
    <t>CrC05</t>
  </si>
  <si>
    <t>CrC06</t>
  </si>
  <si>
    <t>CrC07</t>
  </si>
  <si>
    <t>Strategy</t>
  </si>
  <si>
    <t>Sub-strategy</t>
  </si>
  <si>
    <t>HTS</t>
  </si>
  <si>
    <t>Support the Provision of HTS services to Youths and adolescents at all facility entry points.</t>
  </si>
  <si>
    <t>HTS01</t>
  </si>
  <si>
    <t>Provide systematic testing to Youths and adolescents at high yield entry points including TB, malnutrition and hospitalisation units.</t>
  </si>
  <si>
    <t>HTS02</t>
  </si>
  <si>
    <t>Linelist all eligible biological children of all newly initiated adult clients</t>
  </si>
  <si>
    <t>HTS03</t>
  </si>
  <si>
    <t>Linelist biological siblings of newly identified C/ALHIV on ART</t>
  </si>
  <si>
    <t>HTS04</t>
  </si>
  <si>
    <t>Linelist all Youths and adolescents who are sexual contacts or drugs injecting partners of index clients(PLHIV).</t>
  </si>
  <si>
    <t>HTS05</t>
  </si>
  <si>
    <t>Notify all linelisted youths and adolescents using the most appropriate notification method.</t>
  </si>
  <si>
    <t>HTS06</t>
  </si>
  <si>
    <t xml:space="preserve">Provide HTS services to all notified contacts in the facility or community depending on the clients convinience </t>
  </si>
  <si>
    <t>HTS07</t>
  </si>
  <si>
    <t xml:space="preserve">Train adolescent champions/peers and HCWs to mobilze their peers and creat demand for HTS services </t>
  </si>
  <si>
    <t>HTS08</t>
  </si>
  <si>
    <t>Support the implementation of Anonymous ICT for ALHIV</t>
  </si>
  <si>
    <t>HTS09</t>
  </si>
  <si>
    <t>Develop brief, clear, motivating, youth friendly call for action messages in collaboration with youths, NACC and other key stakeholders.</t>
  </si>
  <si>
    <t>HTS10</t>
  </si>
  <si>
    <t>Disseminate validated messages through the different social media plate-forms; Facebook, WhatsApp, SMS, dating platforms, TV and radio</t>
  </si>
  <si>
    <t>HTS11</t>
  </si>
  <si>
    <t>Use prompts to generate HTS demands in social media users.</t>
  </si>
  <si>
    <t>HTS12</t>
  </si>
  <si>
    <t xml:space="preserve">Engage Youths influencers, Tiktokers and Cameroonian stars on sensitization on HIV prevention and testing services </t>
  </si>
  <si>
    <t>HTS13</t>
  </si>
  <si>
    <t>Engage and support other sectors working with youths such as MINESEC, MINJEC, MINEDUB and youth-let CBOs on sensitization, HIV prevention and testing services</t>
  </si>
  <si>
    <t>HTS14</t>
  </si>
  <si>
    <t xml:space="preserve">Implement youth friendly testing  services including extended hours, weekends and youth friendly corners  </t>
  </si>
  <si>
    <t>HTS15</t>
  </si>
  <si>
    <t>Support the provision and scale up of HIVST to high risk and hard to reach youths and adolescents</t>
  </si>
  <si>
    <t>HTS16</t>
  </si>
  <si>
    <t xml:space="preserve">Offer an integrated package of services; STI screening, awareness and education,confidentiality and stigma free and U=U messaging </t>
  </si>
  <si>
    <t>HTS17</t>
  </si>
  <si>
    <t>Identify adolescent friendly HCWs/ adolescent champions and Adolescent peers in all supported facilities</t>
  </si>
  <si>
    <t>HTS18</t>
  </si>
  <si>
    <t xml:space="preserve"> Train HCWs and adolescent champions/peers on youth network testing. </t>
  </si>
  <si>
    <t>HTS19</t>
  </si>
  <si>
    <t>Distribute coupons to HIV positive youths and HIV negative high risk youths to give to peers with whom they share similar risk.</t>
  </si>
  <si>
    <t>HTS20</t>
  </si>
  <si>
    <t>Track and provide HIV testing and prevention to all the youths refered/linelisted</t>
  </si>
  <si>
    <t>HTS21</t>
  </si>
  <si>
    <t>Provide incentive to the seed and the network associate</t>
  </si>
  <si>
    <t>HTS22</t>
  </si>
  <si>
    <t>Provide necessary tools, registers for YNT documentation.</t>
  </si>
  <si>
    <t>HTS23</t>
  </si>
  <si>
    <t>Pilot the MicrobetTace for YNT recruitment diagrams</t>
  </si>
  <si>
    <t>HTS24</t>
  </si>
  <si>
    <t>Organise community  health screening campaigns(malaria rapid test/ nutrition screening  for children) in households, schools, hotspots etc coupled with HIV testing</t>
  </si>
  <si>
    <t>HTS25</t>
  </si>
  <si>
    <t>Organise community  health screening campaigns( blood pressure/ blood sugar screenig for adults and malaria rapid test/ nutrition screening  for children) in households coupled with HIV testing</t>
  </si>
  <si>
    <t>HTS26</t>
  </si>
  <si>
    <t>Collaborate with OVC partners for testing of Children and adolescents in the community</t>
  </si>
  <si>
    <t>HTS27</t>
  </si>
  <si>
    <t xml:space="preserve">Leverage on the implementation of pediatric  surge to test youths and adolescents linelisted as sexual contacts, biological children and nidle sharing partners. </t>
  </si>
  <si>
    <t>HTS28</t>
  </si>
  <si>
    <t>Train HCWs, CHWs, and peer educators on Men Star approach (One regional training of trainers)</t>
  </si>
  <si>
    <t>HTS29</t>
  </si>
  <si>
    <t>Identify and train HCWs, CHWs, and peer educators on Men Star approach (onsite trainings)</t>
  </si>
  <si>
    <t>HTS30</t>
  </si>
  <si>
    <t>Develop an SOP for the implementation  of the men star approach</t>
  </si>
  <si>
    <t>HTS31</t>
  </si>
  <si>
    <t>Support and mentor/coach sites (HCW/CHW/Peer educators) on implementation of the mens star approach using a CQI Approach</t>
  </si>
  <si>
    <t>HTS32</t>
  </si>
  <si>
    <t>Provide stipends to the  men star champions (male expert clients)</t>
  </si>
  <si>
    <t>HTS33</t>
  </si>
  <si>
    <t>Print flyers, posters and other communication materials with new HIV Narrative like U=U Messaging etc, to improve patient treatment literacy and improve demand creation for services by men</t>
  </si>
  <si>
    <t>HTS34</t>
  </si>
  <si>
    <t>Support the creation of male/men specific support groups/adherence clubs in male friendly corners in selected facilities and ensure availability of amenities that attract men (e.g. TV with sport channels)</t>
  </si>
  <si>
    <t>HTS35</t>
  </si>
  <si>
    <t>Provide a multi-package (HTN Screening, Diabetes screening, BMI measurement, health promotion messages etc and coupled with HIV prevention and testing to all men visiting the male friendly corners</t>
  </si>
  <si>
    <t>HTS36</t>
  </si>
  <si>
    <t>Map out men associations and groups in collabor ation with the district team, councils, CSO, MINAT, Churches, etc, transport unions etc</t>
  </si>
  <si>
    <t>HTS37</t>
  </si>
  <si>
    <t>Organise integrated community activities targeting men in the community in collaboration with the district team</t>
  </si>
  <si>
    <t>HTS38</t>
  </si>
  <si>
    <t>Develop brief, clear, motivating, men friendly and call for action messages in collaboration with, men champions NACC and all stakeholders.</t>
  </si>
  <si>
    <t>HTS39</t>
  </si>
  <si>
    <t>HTS40</t>
  </si>
  <si>
    <t>HTS41</t>
  </si>
  <si>
    <t xml:space="preserve">Engage influencers, Tiktokers and Cameroonian stars on sensitization on HIV prevention and testing services </t>
  </si>
  <si>
    <t>HTS42</t>
  </si>
  <si>
    <t>Scale up the offer, availability and flexibility of male friendly DSD ART Models (like fast tracking, extended hours, weekend dispensation, community ART dispensation and 3&amp;6 MMDs) to ensure services are more convienient and welcoming to men</t>
  </si>
  <si>
    <t>HTS43</t>
  </si>
  <si>
    <t>Integrate NCD/HIV care for men (create and support HTN &amp; Diabetic Clinics) to improve integrated screening, diagnosis and care for HIV Clients with NCDs and reduce number of hospital visits by synchronising NCD &amp; HIV Visits dates</t>
  </si>
  <si>
    <t>HTS44</t>
  </si>
  <si>
    <t>Provide transport support to men with financial challenges</t>
  </si>
  <si>
    <t>HTS45</t>
  </si>
  <si>
    <t>Onboard/recruite and Scale up use of more male expert clients to support males with adherence challenges</t>
  </si>
  <si>
    <t>HTS46</t>
  </si>
  <si>
    <t xml:space="preserve">Intensify  case finding in partners  of  Pregnant women by use of invitation letters and other non-financial incentive </t>
  </si>
  <si>
    <t>HTS47</t>
  </si>
  <si>
    <t xml:space="preserve">Implement multi package disease approches to attract men by integrating HTS with BP Screening, diabetis , and STI Screening </t>
  </si>
  <si>
    <t>HTS48</t>
  </si>
  <si>
    <t>Implement Extended Hour and week-end Testing from working class men</t>
  </si>
  <si>
    <t>HTS49</t>
  </si>
  <si>
    <t>Implement workplace testing of men, and in other gathering places for men where they live and work or socialise</t>
  </si>
  <si>
    <t>HTS50</t>
  </si>
  <si>
    <t>Use male influencers  and men champion to create the demand for HTS among men</t>
  </si>
  <si>
    <t>HTS51</t>
  </si>
  <si>
    <t>Organise community  health screening campaigns( blood pressure/ blood sugar screenig for adults and malaria rapid test/ nutrition screening coupled with HIV testing</t>
  </si>
  <si>
    <t>HTS52</t>
  </si>
  <si>
    <t>identify and train high-risk male champions to identify their social network for testing</t>
  </si>
  <si>
    <t>HTS53</t>
  </si>
  <si>
    <t>collaborate with district teams to map out high-risk men networks in their districts for HIV testing</t>
  </si>
  <si>
    <t>HTS54</t>
  </si>
  <si>
    <t>organise community  health screening campaigns( blood pressure/ blood sugar screenig for adults and malaria rapid test/ nutrition screening coupled with HIV testing</t>
  </si>
  <si>
    <t>HTS55</t>
  </si>
  <si>
    <t>C1.1 Implement HIV recency surveillance to 30% (28 sites) of PEPFAR supported sites to cover 50% HTS_POS for zone 3</t>
  </si>
  <si>
    <t>Select additional 13 sites for recency scale up implementation. 10 in the Center and 3 in the East to make a total of 28 sites.</t>
  </si>
  <si>
    <t>HTS56</t>
  </si>
  <si>
    <t>Organize refresher and  step-down trainings for site level staff.</t>
  </si>
  <si>
    <t>HTS57</t>
  </si>
  <si>
    <t xml:space="preserve">Procure necessary tools : tablets,registers and job aids    </t>
  </si>
  <si>
    <t>HTS58</t>
  </si>
  <si>
    <t>Provide viral load for RTRI reactive cases for 8%(161 reactive) of the total number of positives for the zone.</t>
  </si>
  <si>
    <t>HTS59</t>
  </si>
  <si>
    <t>Activate selected sites and start/continue recency implementation</t>
  </si>
  <si>
    <t>HTS60</t>
  </si>
  <si>
    <t xml:space="preserve">Ensure daily reporting of recency testing </t>
  </si>
  <si>
    <t>HTS61</t>
  </si>
  <si>
    <t>organise routine (quarterly) QC, CQI and supportive supervision visits with all stakeholders</t>
  </si>
  <si>
    <t>HTS62</t>
  </si>
  <si>
    <t>Monitor, coach and mentor HCWs on a regular basis (Monthly, Quarterly) on HIV recency testing</t>
  </si>
  <si>
    <t>HTS63</t>
  </si>
  <si>
    <t>Support selected sites to systematically offer recency testing to  all newly identified HIV Positive case above 15yrs</t>
  </si>
  <si>
    <t>HTS64</t>
  </si>
  <si>
    <t>organise quaterly data review with all stakeholders on the performance on HIV recency testing</t>
  </si>
  <si>
    <t>HTS65</t>
  </si>
  <si>
    <t>organise quaterly public health response activities using recency  data at community, district and regional levels with all stakeholders.</t>
  </si>
  <si>
    <t>HTS66</t>
  </si>
  <si>
    <t>Support revision of tools for proper documentation of differents services to differents categories of populations (e.g HIV Risk screening register)</t>
  </si>
  <si>
    <t>HTS67</t>
  </si>
  <si>
    <t>Print and distribute the register form of screening tool</t>
  </si>
  <si>
    <t>HTS68</t>
  </si>
  <si>
    <t>Support site to provide and document systematically in all entry points, HIV risk screening , testing, and linkage to ART using the validated risk screening tool</t>
  </si>
  <si>
    <t>HTS69</t>
  </si>
  <si>
    <t xml:space="preserve"> Ensure the availability and usage of the screening tool at all entry points</t>
  </si>
  <si>
    <t>HTS70</t>
  </si>
  <si>
    <t>Organize odds hours and week-end services as well as integrated services (with NCDs - eyes checks) to improve HIV testing among  youth and adult males / KPs</t>
  </si>
  <si>
    <t>HTS71</t>
  </si>
  <si>
    <t>Support district and regional teams to conduct supervisions</t>
  </si>
  <si>
    <t>HTS72</t>
  </si>
  <si>
    <t>Close monitoring,  proper documentation and reporting</t>
  </si>
  <si>
    <t>HTS73</t>
  </si>
  <si>
    <t xml:space="preserve">training on targeted community  testing for HF Staff and CHW
</t>
  </si>
  <si>
    <t>HTS74</t>
  </si>
  <si>
    <t>Strengthen the relationship with satellite sites through incentives, mentorship, trainings (I.e., transport reimbursement etc</t>
  </si>
  <si>
    <t>HTS75</t>
  </si>
  <si>
    <t>Implement HIV Screnning in satelite sites and stand alone Lab and actively link for confirmatory testing and treatment initiation</t>
  </si>
  <si>
    <t>HTS76</t>
  </si>
  <si>
    <t>Continuous Coaching/Mentorship of satellite sites for identification of suspect cases</t>
  </si>
  <si>
    <t>HTS77</t>
  </si>
  <si>
    <t>Facilitate transportation of clients and staff from satellite sites or the community to the Hub site for confirmation and linkage to ART</t>
  </si>
  <si>
    <t>HTS78</t>
  </si>
  <si>
    <t>Support implementation of the integrated package of community activities(one by two,suspect case, satellite sites) in the same time blood pressure screening and diabetes screening/nutritionnal assessment</t>
  </si>
  <si>
    <t>HTS79</t>
  </si>
  <si>
    <t>Support revision of tools for proper documentation of differents services to differents categories of populations</t>
  </si>
  <si>
    <t>HTS80</t>
  </si>
  <si>
    <t>Collaborate with community health workers / traditional leaders to propose HIV testing services to Men during male events in community</t>
  </si>
  <si>
    <t>HTS81</t>
  </si>
  <si>
    <t>Support district and regional teams to conduct support supervisions and mentorship visits</t>
  </si>
  <si>
    <t>HTS82</t>
  </si>
  <si>
    <t>Close monitoring for proper documentation and reporting</t>
  </si>
  <si>
    <t>HTS83</t>
  </si>
  <si>
    <t>Train HCWs/CHWs on the New HIV Testing Algorithm (Regional Training of trainers)</t>
  </si>
  <si>
    <t>HTS84</t>
  </si>
  <si>
    <t>train HCWs/CHWs on the New HIV Testing Algorithm (Onsite)</t>
  </si>
  <si>
    <t>HTS85</t>
  </si>
  <si>
    <t>Support the district and Regional teams (RTG, RDPH, Ips, CBOs, CSOs ETC) to update SOPs, Data collection tools, registers etc in line with recommendations in the new HIV Testing guidelines  to be printed</t>
  </si>
  <si>
    <t>HTS86</t>
  </si>
  <si>
    <t xml:space="preserve">Print and avail to sites the updated SOPs, Data collection tools, registers etc </t>
  </si>
  <si>
    <t>HTS87</t>
  </si>
  <si>
    <t>Mentor and coach sites on implementation of recommendations of the 3 test algorithm</t>
  </si>
  <si>
    <t>HTS88</t>
  </si>
  <si>
    <t>Support district and regional teams to organise on quartely basis, a supervision to evaluate and support implementation of 3- tests algorithm</t>
  </si>
  <si>
    <t>HTS89</t>
  </si>
  <si>
    <t>Map out list of prisons/size, and location in zone 3</t>
  </si>
  <si>
    <t>HTS90</t>
  </si>
  <si>
    <t>Train prisons HCW and adminitrators on HIV management, KP sensitization, GBV</t>
  </si>
  <si>
    <t>HTS91</t>
  </si>
  <si>
    <t>Mentor and coach Prison health staff on HIV/TB activities in the prison.</t>
  </si>
  <si>
    <t>HTS92</t>
  </si>
  <si>
    <t>Ensure systematic screening and  testing of new inmates for HIV/TB, routine targeted testing of existing ones and linkage of inmates tested positive to treatment.</t>
  </si>
  <si>
    <t>HTS93</t>
  </si>
  <si>
    <t>Provide registers, SOPs, data collection tools</t>
  </si>
  <si>
    <t>HTS94</t>
  </si>
  <si>
    <t>Recruit and train (peer education) inmate peer educators (1:300?) and prison wardens</t>
  </si>
  <si>
    <t>HTS95</t>
  </si>
  <si>
    <t>Support HCW to conduct routine Risk assessment and KP classification, and support provision of  Risk reduction counceling &amp; Motivational counseling</t>
  </si>
  <si>
    <t>HTS96</t>
  </si>
  <si>
    <t xml:space="preserve">Support HIV testing, counseling and linkage to ART ( at entry and every 6 months) of new and old inmates </t>
  </si>
  <si>
    <t>HTS97</t>
  </si>
  <si>
    <t>support linkage to ART  for Prisoners LHIV</t>
  </si>
  <si>
    <t>HTS98</t>
  </si>
  <si>
    <t>Support routine Viral Load testing and monitoring</t>
  </si>
  <si>
    <t>HTS99</t>
  </si>
  <si>
    <t xml:space="preserve">support provision of targeted Adherence counceling and enrolment into EAC for prisoners with HVL </t>
  </si>
  <si>
    <t>HTS100</t>
  </si>
  <si>
    <t>Facilitate linkage to C&amp;T units out of prison setting  upon release from prisons or during prison transfers</t>
  </si>
  <si>
    <t>HTS101</t>
  </si>
  <si>
    <t>Minor repairs and supplies in prisons health facility &amp; lab e.g. painting, office tables, chairs for clients, confidential spaces for consultation/testing, AC, equipment clinical/lab</t>
  </si>
  <si>
    <t>HTS102</t>
  </si>
  <si>
    <t>Support STI screening and referral for diagnosis and treatment</t>
  </si>
  <si>
    <t>HTS103</t>
  </si>
  <si>
    <t>Provide routing TB screening, prophylaxis and treatment for all inmates</t>
  </si>
  <si>
    <t>HTS104</t>
  </si>
  <si>
    <t>Support prison administration to provide Violence prevention and post violence care and first line response</t>
  </si>
  <si>
    <t>HTS105</t>
  </si>
  <si>
    <t xml:space="preserve">support the setting in place/strengthening of  GBV referral network including linkage to PEP </t>
  </si>
  <si>
    <t>HTS106</t>
  </si>
  <si>
    <t>Train staff on GBV screening, prevention and response and use of tools</t>
  </si>
  <si>
    <t>HTS107</t>
  </si>
  <si>
    <t>Conduct onsite Training/sensitisation of HF staff and admin on KP Friendly services, risk assessment, classification, and GBV</t>
  </si>
  <si>
    <t>HTS108</t>
  </si>
  <si>
    <t>KPs</t>
  </si>
  <si>
    <t>Conduct onsite Training of HF paramedical staff, including cleaners, security agents on stigma and discrimination, client-friendly services, right to health etc</t>
  </si>
  <si>
    <t>HTS109</t>
  </si>
  <si>
    <t>Support sites to Offer KP-friendly services: focal person, KP specific client flow to fast track services for KPs, extra hours or night services</t>
  </si>
  <si>
    <t>HTS110</t>
  </si>
  <si>
    <t>Conduct risk assessment, KP classification and Offer services that meet individual needs and risk reduction counseling, IPC, BCC</t>
  </si>
  <si>
    <t>HTS111</t>
  </si>
  <si>
    <t>Support Handshake model with USAID &amp; GF KP partners for complementarity of prevention &amp; treatment services</t>
  </si>
  <si>
    <t>HTS112</t>
  </si>
  <si>
    <t>support linkage ART for KPLHIV, including DSD, MMD including KP-specific support group activities</t>
  </si>
  <si>
    <t>HTS113</t>
  </si>
  <si>
    <t>identify SNS recruiters, provide incentives to recruiters and provide coupons to boost SNS Activities - Systematic linkage to PrEP for KPs tested negative</t>
  </si>
  <si>
    <t>HTS114</t>
  </si>
  <si>
    <t>Support STI screening and syndromic management (with STI kits from the GF program) and Referral for STI diagnosis and treatment</t>
  </si>
  <si>
    <t>HTS115</t>
  </si>
  <si>
    <t>support routine TB screening, prophylaxis and treatment for KPs</t>
  </si>
  <si>
    <t>Print and avail material needed ( coupons monthly reporting tools, SNS registers, SOPs, Job aids…)</t>
  </si>
  <si>
    <t>Identify trainees from selected facilities  to scale up the SNS implementation in both regions</t>
  </si>
  <si>
    <t>identify and use KP clients as recruiters. Renew recruiters as soon as network gets exhausted</t>
  </si>
  <si>
    <t>Systematically offer the opportunity to become a recruiter to all KP clients that test at the facility</t>
  </si>
  <si>
    <t>Systematically link to PrEP and ART based on HIV test results</t>
  </si>
  <si>
    <t>Systematically fix an appointment for next test for those tested negative and ensure reminders calls and tracking is done  for those who miss their appoint</t>
  </si>
  <si>
    <t>Use updated training modules to Conduct onsite refresher trainings (for previous sites) and  onsite training (scale up sites)  for providers of the selected health facilities on SNS in both Center and East regions</t>
  </si>
  <si>
    <t>Offer HIV services to network associates in facility or community depending of client preferences</t>
  </si>
  <si>
    <t>Reinforce the referral of screened positive to the facility by KPs peer educators using vouchers for active linkage and referral booklet for documentation purpose</t>
  </si>
  <si>
    <t>Pay incentives to recruiters for each KP clients referred for testing</t>
  </si>
  <si>
    <t>Actively link contacts with negative results to prevention services and the clients identified positive to treatment.</t>
  </si>
  <si>
    <t>Properly document SNS services in appropriate tools</t>
  </si>
  <si>
    <t>E2.3Implement  Facility-led outreach community HIV prevention care and treatment services for KPs in collaboration with the district team.</t>
  </si>
  <si>
    <t>Identify and map out all underserved KP hotspots and sex venues per district and update mapping every 3 months</t>
  </si>
  <si>
    <t>Identify, engage and train KP hotspot, Sex venue and peer educator leaders for peer-led community sensitisation and mobilisation for HTS and prevention services</t>
  </si>
  <si>
    <t>Scale up SNS and HIVST implementation to all facilities offering KP services in both regions</t>
  </si>
  <si>
    <t>Conduct at least once a month targeted community HTS and prevention interventions to underserved KP groups, hot spots, meeting/sex venues in areas not covered by KP community partners.</t>
  </si>
  <si>
    <t>Link KPs tested positive to treatment and enrol those tested negative on PrEP at the Facility</t>
  </si>
  <si>
    <t>support provision to provide HTS, PrEP, ART, INH etc in the community following national algorithm as DSD for KPs who cannot come to the facility</t>
  </si>
  <si>
    <t>Support  extended hours or other DSD models to accomodate KPs linked to facility from hotspots</t>
  </si>
  <si>
    <t>Designate a KP FP in charge of liaison and KP navigation at facility</t>
  </si>
  <si>
    <t>Support the designing and adoptation of a KP-specific client flow that fast tracks services for KP clients at facility</t>
  </si>
  <si>
    <t>Establish a referral/counter referral system with proper documentation and filing of all services provided (ART initiation, VL, dispensation etc)</t>
  </si>
  <si>
    <t>Collaborate with KP community partner for routine handshake model data review, triangulation and validation</t>
  </si>
  <si>
    <t>Identify and train the peer educators to promote  correct condom and lubricants use</t>
  </si>
  <si>
    <t>Make condoms and lubricants available and accessible to clients by placing it at all entry points</t>
  </si>
  <si>
    <t>Develop, print and disseminate female, male condoms and lubricants demand creation and communication material (IEC,Posters) and paste at entry points</t>
  </si>
  <si>
    <t>Support HF to carry out Health promotion talks on the correct use of condoms and lubricants</t>
  </si>
  <si>
    <t>E2.6 Address bariers (Stigma, discrimination, non adapted service hours, fear of police harassment or arrest, low quality health care services etc) to all clients seeking health care especially KPs</t>
  </si>
  <si>
    <t>Create awareness at HF on provision of services that are stigma and discrimination free(treat clients with equality and respect , discourage use of languages that are stigmatizing, maintain neutral body language, avoid cold and judgmental body language)</t>
  </si>
  <si>
    <t>Support and collaborate with HF Administration and KP Partners to adddress violence against KPs(reassure clients confidentiality and safety, fast track services to reduce waiting, provide adequate services to manage violence against KP.</t>
  </si>
  <si>
    <t>support the Provision of an intergrated package of services(RH,STI and Hepatitis screening)</t>
  </si>
  <si>
    <t>Support the Provision of differentiated services to KPs (Fast tracking services to reduce waiting time, Extended hours, weekend, public holiday services, MMD for stable KPs and support group for KPs)</t>
  </si>
  <si>
    <t>PrEP</t>
  </si>
  <si>
    <t>Train HCW on PrEP</t>
  </si>
  <si>
    <t>PrEP01</t>
  </si>
  <si>
    <t>Identify and Recruit PrEP mobilizers and PrEP champions</t>
  </si>
  <si>
    <t>PrEP02</t>
  </si>
  <si>
    <t>support the production of national PrEP registers, PrEP client files and make available to PrEP sites</t>
  </si>
  <si>
    <t>PrEP03</t>
  </si>
  <si>
    <t>support the provision of PrEP to eligible clients in line with national guidelines</t>
  </si>
  <si>
    <t>PrEP04</t>
  </si>
  <si>
    <t>Create demand for PrEP by Offering and sensitizing clients on all PrEP options available at site, including event driven PrEP (on demand) available for MSMs only</t>
  </si>
  <si>
    <t>PrEP05</t>
  </si>
  <si>
    <t>Propose PrEP to all high risk clients (screen in)</t>
  </si>
  <si>
    <t>PrEP06</t>
  </si>
  <si>
    <t>Expand SNS among PrEP clients</t>
  </si>
  <si>
    <t>PrEP07</t>
  </si>
  <si>
    <t>Print and paste visible PrEP demand creation posters around facility in national and local languages</t>
  </si>
  <si>
    <t>PrEP08</t>
  </si>
  <si>
    <t>Subsidize all costs for PrEP-related tests (urine, uree-creatinine...) by aligning with Global Fund PrEP package and sensitize clients on user free PrEP related services</t>
  </si>
  <si>
    <t>PrEP09</t>
  </si>
  <si>
    <t>Identify and train AGYW FP on conducting peer education (use of standard curriculum, basics on HIV, GBV LIVES etc) and facility outreach activities that target AGYW/ABYM/PP</t>
  </si>
  <si>
    <t>Support access to Information, education and life skills development for High- risk AGYW/ABYM/PP</t>
  </si>
  <si>
    <t>Support HCWs to conduct Risk assessment and risk reduction counseling and promotion Condoms and lubricants promotion and distribution among AGYW/ABYM/PP</t>
  </si>
  <si>
    <t>Support HIV Testing and Counseling and linkage ART for PP living with HIV</t>
  </si>
  <si>
    <t xml:space="preserve">Support provision and access to Post-exposure Prophylaxis (PEP) and Pre-exposure Prophylaxis (PrEP- for emancipated AGYW) </t>
  </si>
  <si>
    <t>Ensure the Prevention and management of co-morbidities including STIs, TB and other Ois among AGYW/ABYM/PP</t>
  </si>
  <si>
    <t>collaborate with District and community patners to Map schools and vocational training centers in catchment areas (region, health districts)</t>
  </si>
  <si>
    <t>collaborate with District and community patners to Map fishing, normads, IDP, etc communities</t>
  </si>
  <si>
    <t>Identify and train peer educators (use of standard curriculum, basics on HIV, GBV LIVES etc) to lead sessions using standard currilum</t>
  </si>
  <si>
    <t>Collaborate with School administrations to define schedule for conducting peer education (age appropriate) on various topics: HIV information, education, life skills development, gender norms, GBV prevention</t>
  </si>
  <si>
    <t>Identify and refer high risk AGYW/ABYM for testing, HIV prevention, STI, reproductive health services as needed</t>
  </si>
  <si>
    <t>Support referral for testing, linkage to ART/GBV/STI/SRH services and PrEP as applicable</t>
  </si>
  <si>
    <t>E4: Use HIV Testing Services for re-engagement in care and linkage to prevention services</t>
  </si>
  <si>
    <t>collaborate with Regional, district, CBOs to adapt advanced councelling messages, SOPs, Job AIDS, poster and procedures to use to verify and identify known positives amongst clients declared HIV positive at entry pionts</t>
  </si>
  <si>
    <t>conduct onsite training of HCWs/Expert clients on advance counceling techniques,  and use of DAMA and other Electronic records to identify known positives presenting for HIV Testing at all entry points</t>
  </si>
  <si>
    <t>Coach/mentor HCW/Expert clients on, SOPs, use of advanced councelling techniques, DAMA and other electronic records to identify known positives amongst all declared HIV Positive cases</t>
  </si>
  <si>
    <t>support district and regional teams to organise on quartely basis, a supervision to evaluate and support implementation, provide feedback and share best practices</t>
  </si>
  <si>
    <t>Put in place strong, non-judgmental and welcoming systems for identifying and re_x0002_engaging PLHIV with known status who come back for retesting</t>
  </si>
  <si>
    <t>define a mininum package of care for PLHIV Re-engaging ART including AHD/NCD/MH Screening and enrolment into appropriate  DSD Model of care to ensure re-engaging clients remain in care</t>
  </si>
  <si>
    <t>E4.2 Active linkage of clients tested negative to prevention services</t>
  </si>
  <si>
    <t>Intensify active linkage for all clients tested HIV negative to prevention services (condoms &amp; lubrifiants, PrEP, ETC), SRH, STI Screening etc</t>
  </si>
  <si>
    <t xml:space="preserve">support HCWs to ensure that HTS Services are confidential, and support clients to overcome stigma and discrimination during HIV testing </t>
  </si>
  <si>
    <t>C&amp;T</t>
  </si>
  <si>
    <t>Support district and regional teams (RTG, RDPH, Ips, CBOs, CSOs ETC) to a working session to select therapeutic education topics, and design flyers/flip charts for use by HCWs.</t>
  </si>
  <si>
    <t xml:space="preserve">print and distribute SOPs, flyers, posters, banners and communication materials with new HIV Narrative like U=U Messaging etc,  to improve patient treatment literacy and improve demand creation for HIV services </t>
  </si>
  <si>
    <t>organise and support On-Site trainings on educating clients on the selected key Therapeutic education (TPE) topics.</t>
  </si>
  <si>
    <t>support and monitor implementation of routine patient treatment literacy and ensure proper documentation of TPE sessions</t>
  </si>
  <si>
    <t xml:space="preserve">Identify and train New HCWs/CHWs on the New HIV Treatment guidelines (TOT) </t>
  </si>
  <si>
    <t>train HCWs/CHWs on the New HIV Treatment guidelines (scale down training to site level)</t>
  </si>
  <si>
    <t>Support the district and Regional teams (RTG, RDPH, Ips, CBOs, CSOs ETC) to update SOPs, Data collection tools, registers etc in line with recommendations in the new HIV treatment guidelines  to be printed</t>
  </si>
  <si>
    <t xml:space="preserve">print and avail to sites the updated SOPs, Data collection tools, registers etc </t>
  </si>
  <si>
    <t>mentor and coach sites on implementation of recommendations of the new HIV Care and treatment guidelines</t>
  </si>
  <si>
    <t>support district and regional teams to organise on quartely basis, a supervision to evaluate and support implementation of new recommendations</t>
  </si>
  <si>
    <t>Onsite training and mentorship for  HCWs on tracking of clients</t>
  </si>
  <si>
    <t xml:space="preserve">support continuous update of client locator forms  </t>
  </si>
  <si>
    <t>support HCWs to carry out reminder calls for ARV Pick up and immediate follow-up calls for those who miss appointments using the APS appointment logbook</t>
  </si>
  <si>
    <t>support HCWs to carry out community tracking for clients unreacheable or not brought back through phone tracking</t>
  </si>
  <si>
    <t>monitor and support documentation of tracking activities in tracking tools</t>
  </si>
  <si>
    <t xml:space="preserve">Onsite training of HCWs, and expert clients (Mother mentors, Adoslescent champions, Adult clients etc.) on performing re-engagement interviews, including screening for stigma/mental health and management,  its documentation and use for client centred care </t>
  </si>
  <si>
    <t xml:space="preserve">Spell out clear expectations required from different categories of expert clients according to different sub groups (HVL, PBFW, New on ART, AHD etc) and design reporting tools to monitor their performances. </t>
  </si>
  <si>
    <t>collaborate and support CBOs/community KP patners to track clients who interrupt care till final outcome</t>
  </si>
  <si>
    <t>monitor tracking and confirmation of all Transfert out done to ensure patients are not lost during TO process, and ensure proper documentation</t>
  </si>
  <si>
    <t>Organise a brainstorming workshop with district, RTG, region, community partners, … to identify strategies to set up in order to track all known positive patient moving accross facilities in the region/country.</t>
  </si>
  <si>
    <t>Identify and onboard 1- 2 adult experts clients for tiers 1 and 2 and provide stipend</t>
  </si>
  <si>
    <t>Onsite trainings for HCWs/CHWs on DSD Models offer and documentation in the various primary sources.</t>
  </si>
  <si>
    <t>scale up the offer, availability and flexibility of DSD ART Models (like fast tracking, extended hours, weekend, transport reimburse to client with financial challenge,  dispensation, community ART dispensation and 3&amp;6 MMDs) to ensure services are more convienient and welcoming to clients</t>
  </si>
  <si>
    <t>Advocacy at site level to implement all the community and facility DSD models</t>
  </si>
  <si>
    <t xml:space="preserve">support sites to carry out patient treatment literacy on DSD Models, their eligibility criteria to motivate clients and create demand for DSD Services </t>
  </si>
  <si>
    <t>Clearly define and support the creation and functionality of appropriate support group based on patients individual characteristics such as; HVL, PBFW, Childen/Adoslesence etc.</t>
  </si>
  <si>
    <t xml:space="preserve">print flyers, posters, banners and communication materials to inform clients on the various DSD models, benefits and eligibility criteria </t>
  </si>
  <si>
    <t>Support district and regional teams (RTG, RDPH, Ips, CBOs, CSOs ETC) to develop and adapt community referal forms for various community activities (CAD services, OVC services, TB services, KP ETC)</t>
  </si>
  <si>
    <t>Establish a community partnership with traditionnal practitionners, community and religious leaders for tracking and referal of patients</t>
  </si>
  <si>
    <t xml:space="preserve">Support and mentor CHW/HCWs and community partners on documentation of referral and counter referrals using developed forms </t>
  </si>
  <si>
    <t xml:space="preserve"> train HCWs on pharmacovigilance, and therapeutic failure diagnosis and management</t>
  </si>
  <si>
    <t>print and avail pharmocovigilance forms to sites</t>
  </si>
  <si>
    <t>mentor sites on monitoring, documenting, Management and reporting of adverse drug effects</t>
  </si>
  <si>
    <t>Training of HCW on HVL management and diagnosis of HIVDR</t>
  </si>
  <si>
    <t>Support sites to triage VL results identifying those with HVL and notifying immediately for enrolment into EAC Sessions</t>
  </si>
  <si>
    <t>support proper documentation and monitoring of EAC Session in HVL registers and the use EAC Forms</t>
  </si>
  <si>
    <t>support creation and enrollment into adherence clubs/HVL Support groups</t>
  </si>
  <si>
    <t>support sites to identify clients with Low level viremia and provide adherence support to improve viral supression to undetectable level</t>
  </si>
  <si>
    <t>support the use of U=U messaging to improve adherence on treatment and demand creation for VL Testing</t>
  </si>
  <si>
    <t>Ensure all clients who complete EAC sessions are recollected for VL Testing</t>
  </si>
  <si>
    <t xml:space="preserve">Strengthen the coupling of EAC sessions with ARV refill and clinical consultation, following the one-stop-shop model </t>
  </si>
  <si>
    <t>support sites identify and lineliste routinely clients on 2nd line regimen with therapeutic failure and support sample collection and transport for HIVDRT</t>
  </si>
  <si>
    <t>provide financial support for HIVDRT for eligible clients</t>
  </si>
  <si>
    <t>support and scale up DSD models for VL Sample collection in the community and health facility for clients with HVL</t>
  </si>
  <si>
    <t>Train HCW on switching clients with confirmed therapeutic failure to second or third line regimens, and on provision of care and treatment for these cleints in line with the national recommendations</t>
  </si>
  <si>
    <t>support Sites/HCW to routinely linelist clients with therapeutic failure and switch to appropriate regimen</t>
  </si>
  <si>
    <t>organise and support On-the-Job trainings on educating clients on 2nd or 3rd line regimens on the selected key TPE topics.</t>
  </si>
  <si>
    <t>support and monitor implementation of routine patient treatment literacy for clients on 2nd &amp; 3rd line regimens and ensure proper documentation of TPE sessions</t>
  </si>
  <si>
    <t>Support the use of U=U messaging to improve adherence on treatment and create demand for VL tesing</t>
  </si>
  <si>
    <t>support patient treatment literacy on VL (importance of VL testing, interpretation of results,  impact on course of treatment and role in eligibility to DSD models and MMD)</t>
  </si>
  <si>
    <t>support district and regional teams to organise open day activities (sporting events, health walks, media campaigns) in communities, and enterprises to educate on U=U and reduce HIV related stigma</t>
  </si>
  <si>
    <t>collaborate with CSOs, RECAP+, social media influencers and community leaders to reach community members with U=U Messaging</t>
  </si>
  <si>
    <t xml:space="preserve">Training and  mentoring/coaching of HCWs on VL eligibility, Sample collection procedure, and documentation </t>
  </si>
  <si>
    <t xml:space="preserve">support and scale up DSD models for VL Sample collection in the community and health facility </t>
  </si>
  <si>
    <t>collaborate with ST IPs to ensure efficient transportation of viral load samples from VL Storage hub sites to reference labs and return of results</t>
  </si>
  <si>
    <t>support VL Refence labs with incentives to test during extra hours and reduce TAT</t>
  </si>
  <si>
    <t>Organise and support training of HCWs on screening, diagnosis and management for AHD</t>
  </si>
  <si>
    <t>mentor/coach sites on AHD Care and treatment</t>
  </si>
  <si>
    <t>support the setting up of a hub and spoke system to improve acess to diagnostic and  treatment plateforms for clients with suspected AHD</t>
  </si>
  <si>
    <t>Support the district team to use existing Echo Platform for continuous experience sharing between sites on AHD management</t>
  </si>
  <si>
    <t>collaborate with MOH/RTG to map existing CD4 Platforms and their functionality, and support the setting up a refferal network for CD4 Sample transport and return of results between hubs and spoke sites</t>
  </si>
  <si>
    <t xml:space="preserve">collaborate with ST IP to support transportation of CD4 samples from spoke to hub sites </t>
  </si>
  <si>
    <t>support referal and counter referal of clients diagnosed or suspected with AHD and needing specialist review/care</t>
  </si>
  <si>
    <t>collaborate with MOH/RTG to develop AHD Tools, support and ensure adequate documentation and reporting using tools</t>
  </si>
  <si>
    <t>Print and make avail AHD Tools to all sites</t>
  </si>
  <si>
    <t>support systematic screening for opportunistic infections for PLHIV</t>
  </si>
  <si>
    <t>Map the availability of diagnostic kits of Cryptococcal meningitis and other opportunitistic infections supply in Tier 1 and some Tier 2 sites based on the hub and spoke system available to improve access to diagnostic and treament platforms for CM</t>
  </si>
  <si>
    <t>support sites organise monthly AHD data and performance review meeting with view on improving integration of services</t>
  </si>
  <si>
    <t>support clients with financial difficulties to improve access to diagnosis and treatment for AHD</t>
  </si>
  <si>
    <t>mentor sites on monitoring, documenting and  reporting of cause of death</t>
  </si>
  <si>
    <t>support district team to hold monthly mortality audit meetings in high volume sites in view of learning and improving quality of care to PLHIV</t>
  </si>
  <si>
    <t>collaborate with MOH/RTG to develop NCD/Mental Health Tools, support and ensure adequate documentation and reporting using tools</t>
  </si>
  <si>
    <t>Printing and provision of screening forms to help identify patients with mental health issues and referral to appropriate service for care</t>
  </si>
  <si>
    <t>support the training of HCWs on integrated screening, Diagnosis and management of NCDs amongst PLHIV</t>
  </si>
  <si>
    <t>Provision of screening materials to help identify patients with NCD such as BP apparatus and glucometer, weighing scales, height chart)</t>
  </si>
  <si>
    <t>Advocacy at site level to have a subsidized minumum package of care for PLHIV with NCD and Establish a clear patient flow for care of patients with grade 1 and 2 Hypertention and suspected patients with diabetes.</t>
  </si>
  <si>
    <t>Advocate and support the putting in place of a Hub and spoke model to improve access to NCD Specialist</t>
  </si>
  <si>
    <t>support sites integrate NCD Care and treatment into HIV Care and treatment to reduce number of hospital visits, cost of care, waiting times, etc</t>
  </si>
  <si>
    <t>support sites organise monthly NCD/HIV data and performance review meeting with view on improving integration of services</t>
  </si>
  <si>
    <t>Support a prevention package for PLHIV with NCD comorbidities: Set up a prevention program with communication messages on flyers,  nutritionnist talks, physical activities in hospitals with patients, …</t>
  </si>
  <si>
    <t xml:space="preserve">Propose a voucher for patients with grade 3 HTN/ NCD-related life threatening complications on need basis
Subsidise to 50% consultations of all patients stage 1-2 </t>
  </si>
  <si>
    <t>Support evaluation of stigma in patients benefiting from NCD/AHD prevention program before and after enrollement to evaluate impact (6month)</t>
  </si>
  <si>
    <t>mentor/coach sites on NCD/HIV Integration</t>
  </si>
  <si>
    <t>Collaborate with District and regional teams to map out facilities not offering ANC/PVT services, and define a minimum package of activities in these facilities</t>
  </si>
  <si>
    <t>Regional training of the districts PMTCT focal points on PMTCT/PED using the RED approach and mentor them</t>
  </si>
  <si>
    <t>Support  district PMTCT focal points to conduct an assessment of non PEPFAR supported health facilities per district to identify gaps with the usage of national PCTE site assessment tool</t>
  </si>
  <si>
    <t xml:space="preserve">Coach and mentor HCWs to track partners of PBFW </t>
  </si>
  <si>
    <t>Engage  mother mentors &amp; CHCW for community referrals of male partners</t>
  </si>
  <si>
    <t xml:space="preserve">Define a free pacakage of care for male partners who attend ANC with their partners; BP check; BS testing; BMI etc... </t>
  </si>
  <si>
    <t>Make available national M&amp;E tools for Data collection and reporting</t>
  </si>
  <si>
    <t>Collaborate with district teams to map out facilities who do not report to DHIS2</t>
  </si>
  <si>
    <t>Collaborate  with team of District Health service to Elaborate training plans, Train and mentor these satellites sites on PMTCT/Ped services and reporting.</t>
  </si>
  <si>
    <t xml:space="preserve">training of CHWs &amp; mother mentors to provide active search  and referrals of PBFW and their partners  who are not attending ANC services </t>
  </si>
  <si>
    <t>train multidisciplanary team of 7 HCWs ( district TA team) per district   in non PE¨PFAR supported sites</t>
  </si>
  <si>
    <t>Engage CHWs to identify and refer pregnant women from the community to the facility for ANC services</t>
  </si>
  <si>
    <t>Identify and collaborate with community leaders( traditional, religious, administrative)  and women groups/associations in the community to sensitize on ANC services and referrals</t>
  </si>
  <si>
    <t>Mapping and training of TBAs and high volume matrons (sensitize them on free ANC packages and use their sites for community HIV testing for PBFW &amp; their partners) clinics where women go to follow-up pregnancy</t>
  </si>
  <si>
    <t>Organize a system for active  referral for PBFW  to the health facility for HIV services by TBA and matrons</t>
  </si>
  <si>
    <t>Collaborate with district health services and community leaders  to offer this  package of services to PBFW in these hard to reach community/areas ( ANC campaign)</t>
  </si>
  <si>
    <t>Collaborate with district health services and community leaders  to offer this  package of services to PBFW in these hard to reach community/areas</t>
  </si>
  <si>
    <t>mentor districts teams on the district approach and develop workplans for implementation.</t>
  </si>
  <si>
    <t xml:space="preserve">Collaborate with district to identify high volume non PEPFAR PMTCT sites </t>
  </si>
  <si>
    <t>Organize and support regular mentorship with the district TA  team to high volume non supported sites in the District</t>
  </si>
  <si>
    <t>train HCWs/CHWs on the Triple elimination of Mother to Child transmission of HIV/Syphilis/Hepatitis</t>
  </si>
  <si>
    <t>Support the district and Regional teams (RTG, RDPH, Ips, CBOs, CSOs ETC) to update SOPs, Data collection tools, registers etc in line with recommendations the Triple elimination of Mother to Child transmission of HIV/Syphilis/Hepatitis  to be printed</t>
  </si>
  <si>
    <t>Mentor and coach sites on implementation of the guidelines of  Triple elimination of Mother to Child transmission of HIV/Syphilis/Hepatitis</t>
  </si>
  <si>
    <t>support district and regional teams to organise on a quartely basis, a joint support supervision to evaluate and support implementation ofthe Triple elimination of Mother to Child transmission of HIV/Syphilis/Hepatitis</t>
  </si>
  <si>
    <t>support the Integration and use of Duo-test (syphilis/HIV) and Hepatitis B screening at ANC clinics</t>
  </si>
  <si>
    <t>Provide counseling for women and their partners to reduce transmission risk and ensure appropriate treatment</t>
  </si>
  <si>
    <t>Conduct appropriate longitudinal follow up of infants borned to women who tested positive e.g Hepatitis B vaccine dose at birth, HEI longitudinal follow up and treatment of neonatal syphilis</t>
  </si>
  <si>
    <t xml:space="preserve">Provide lifelong treatment and care for mothers living with HIV, and counselled PW tested positive on Hepatistis B on important HepB treatment. </t>
  </si>
  <si>
    <t>train HCWs at PMTCT Entry points (ANC, PNC and IWC) on offering of HIV tesing and SDAI on ART for all PBFW</t>
  </si>
  <si>
    <t>linelist all missed opportunities for testing , tract and retest at post ANC1</t>
  </si>
  <si>
    <t>Mentorship and coaching of HCWs on systematic retesting of negative women at post ANC1 and at L&amp;D</t>
  </si>
  <si>
    <t>Use color coding to identify women who need restesting, retest and document</t>
  </si>
  <si>
    <t>Use health talk platforms during ANC services to sensitize women on the need for follow-up retesting if they test negative and hold them accountable to request for testing</t>
  </si>
  <si>
    <t>Support active Linkage of all positive PBFW to ART care</t>
  </si>
  <si>
    <t>support enrollment of all PBFW into universal health coverage (UHC) Scheme</t>
  </si>
  <si>
    <t>collaborate with MoH/RTG to Adapt and adopt a tracking tool for tracking of HEI in the community</t>
  </si>
  <si>
    <t>Using the RED approach, support onsite training of  HCWs on algorithms for HEI testing (EID) and and cohort monitoring  as per national guidelines</t>
  </si>
  <si>
    <t xml:space="preserve">FECh: Strengthen systems for tracking HEI; (provide appointment registers, expose Infant tracking tools, communication credits and supportive mentorship) . Support HCWs to Give precise date for 6 weeks appointment to the mother and ensure reminder calls and SMS are sent prior </t>
  </si>
  <si>
    <t>Accompany all mothers who come for 6 weeks appointment for EID  and ensure proper documentation</t>
  </si>
  <si>
    <t>Track mother -baby pair who miss appointment  using adopted HEI tracking tool</t>
  </si>
  <si>
    <t>Make available EID tools</t>
  </si>
  <si>
    <t>Advocacy to NACC/MoH for availability of EID POC catridges and DBS cards</t>
  </si>
  <si>
    <t>Train, coach and mentor PMTCT staffs, on PMTCT services and  the use of cohort monitoring registers to adequately follow-up mother-baby pair</t>
  </si>
  <si>
    <t>Organize facilitation of PMTCT support groups by paying transportation fee  to clients to attend and facilitation fee for mother mentors</t>
  </si>
  <si>
    <t>Coach and mentor PMTCT staffs on the use of data to design and implement quality improvement projects in order to close the gaps identified in the PMTCT cascade</t>
  </si>
  <si>
    <t>Monthly data review meeting to look at the PMTCT cohorts , identify gaps and put in place corrective actions and follow-up</t>
  </si>
  <si>
    <t>Mapping of TBAs and high volume matrons clinics where women go to follow-up pregnancy</t>
  </si>
  <si>
    <t>Organize  meetings with them ; sensitize them on free ANC packages and use their sites for community HIV testing for PBFW &amp; their partners</t>
  </si>
  <si>
    <t>Organize a system for active  referral for PBFW  to the health facility for HIV services</t>
  </si>
  <si>
    <t>make available cohort monitoring registers and mentor non-PEPFAR sites on it use.</t>
  </si>
  <si>
    <t>Make available cohort monitoring registers and mentor to PEPFAR site on it use</t>
  </si>
  <si>
    <t>make available cohort monitoring registers to non-PEPFAR sites</t>
  </si>
  <si>
    <t>coaching and mentoring of all supported sites on cohort monitoring</t>
  </si>
  <si>
    <t>Mentorship of mother-mentors on tracking of mother-baby pairs for final testing at 18-24 months in all supported sites</t>
  </si>
  <si>
    <t>Put in place a one-stop shop for follow-up of mother-baby pair and couple follow-up visits in all supported sites</t>
  </si>
  <si>
    <t>Identify all PBFW women in adult cohorts and transfer to PMTCT cohorts</t>
  </si>
  <si>
    <t>Train mother mentors, HCWs etc on algorithms for HEI testing and follow-up of missed opportunities for testing</t>
  </si>
  <si>
    <t xml:space="preserve">Strengthen systems for tracking HEI for final outcome; (provide appointment registers, expose Infant tracking tools, communication credits and supportive mentorship) . </t>
  </si>
  <si>
    <t>Give a clear date for 18 -24 months appointment to the mother and ensure reminder calls/sms are sent</t>
  </si>
  <si>
    <t>Accompany all mothers who come for 18 - 24month appointment for HEI testing and documentation</t>
  </si>
  <si>
    <t>collaborate with OVC Patners, M2M, CHW etc to Track in the community mother -baby pair who miss 18 -24 month appointment  using adopted HEI tracking tool</t>
  </si>
  <si>
    <t xml:space="preserve">linelist all missed opportunities for VL testing and bring back for sample collection </t>
  </si>
  <si>
    <t>Train and mentor site staffs on the algorithms for VL testing in PBFW</t>
  </si>
  <si>
    <t>Print , disseminate and share &amp; mentor on job aids &amp; SOPS on VL testing</t>
  </si>
  <si>
    <t>Collaborate with District and regional teams to map POC platforms and sample transport IP. support a sample transport network between hub and spoke sites</t>
  </si>
  <si>
    <t>Provide VL testing to all PBFW according to the national guidelines</t>
  </si>
  <si>
    <t>Prioritize samples collected for VL testing for PBFW on POC platforms to reduce TAT</t>
  </si>
  <si>
    <t>Advocacy with POC services and VL Reference labs for  implementation of the ministerial circular that prioritizes PBFW for VL testing</t>
  </si>
  <si>
    <t xml:space="preserve">Optimize management of PBFW with HVL </t>
  </si>
  <si>
    <t xml:space="preserve"> organise meetings to Create  awareness of OTZ  plus program to hospital administration and create adolescent friendly corners</t>
  </si>
  <si>
    <t>Make available reviewed OTZ HCW and OTZ plus champion  training modules.</t>
  </si>
  <si>
    <t>Organise the TOT for OTZ Plus</t>
  </si>
  <si>
    <t>Training of M2M/HCWs/ OTZ plus champions using OTZ plus  training modules in 3 tiers 1 sites in the center and 1 tier 1 site in the East</t>
  </si>
  <si>
    <t xml:space="preserve"> Define key processes and outcome indicators,Print and disseminate job aids, registers and M&amp;E monitoring tools</t>
  </si>
  <si>
    <t>Support implementation of OTZ plus activities in the PTCE (creation OTZ teams, clubs etc)</t>
  </si>
  <si>
    <t>Train OTZ plus members on income generating activities ( soap, Yogoaut, Dyeing, etc)</t>
  </si>
  <si>
    <t>Organise recreation activities to empower OTZ plus members and reduce stigma</t>
  </si>
  <si>
    <t>Provide transport reimbursemnt for members who attend OTZ plus activities</t>
  </si>
  <si>
    <t>Make available stipend for OTZ plus team members</t>
  </si>
  <si>
    <t xml:space="preserve">certificate of appreciation to PBF-AGYW who achieve  tripple zero </t>
  </si>
  <si>
    <t>identify sites in need of mother mentors</t>
  </si>
  <si>
    <t xml:space="preserve">identify, train and coach mother mentors on cohort monitoring of MIP </t>
  </si>
  <si>
    <t>Track, counsel and do home visit to identified challenges to their peers and identify challenges and devellop resolution plan for better outcomes for HEI and PBFW.</t>
  </si>
  <si>
    <t>Support mother mentors to offer psychosocial support, tracking of MIP, and to offer HIV Services to PBF-AGYW, their partners and children</t>
  </si>
  <si>
    <t>collaborate with district, regional and CSO/CBO to develop and adopt a reporting grid for M2M activities</t>
  </si>
  <si>
    <t>Use RED approach to conduct baseline assessment of sites prepareness for the districts without hubs sites using the national tool for the PCTE assessment</t>
  </si>
  <si>
    <t>Collaborate with DLMEP and NACC to identify hubs sites in each district</t>
  </si>
  <si>
    <t>Organize regional meeting inviting all District medical officers of PEPFAR supported districts to present the district TA model</t>
  </si>
  <si>
    <t>identify district TA team members for each district</t>
  </si>
  <si>
    <t xml:space="preserve">Collaborate with district team to organise training of high volume non supported PEPFAR sites </t>
  </si>
  <si>
    <t>Collaborate with DLMEP and NACC to accompagny hubs sites identified in the non PEPFAR supported sites in the implementation of PCTE ( mentorship program)</t>
  </si>
  <si>
    <t>Training of HCWs in PTCE on Ped care and treatment services</t>
  </si>
  <si>
    <t>Put in place 05 PTCE ( 3 centre and 02 East regions: CHUY, HGOPY, FCB-CME in the center and HP Garoua Boulai, HD Yokadouma)</t>
  </si>
  <si>
    <t>Train HCWs of the PCTE on PED care according to the template of training validated at the national level ( 2 in the East region)</t>
  </si>
  <si>
    <t>Mentoring sessionS between regional supervisors and mentees in selected pediatric center of excellence ( 3 sites in the center region and 2 in the East)</t>
  </si>
  <si>
    <t xml:space="preserve">Minor renovations to create  child/ adolescents friendly corners in facilities offering pediatric services </t>
  </si>
  <si>
    <t>Make available the tools and materials missing at the level of the PCTE</t>
  </si>
  <si>
    <t>train multidisciplinary team of 5 HCWs ( district TA team) per district   in  PEPFAR supported sites</t>
  </si>
  <si>
    <t>Collaborate with district to identify high volume non PEPFAR PMTCT sites in the East region</t>
  </si>
  <si>
    <t>Collaborate with district team to organise training of high volume non supported PEPFAR sites in the East</t>
  </si>
  <si>
    <t>Identify and train HCW in hubs (PTCE) using the clinical mentorship model to capacitate them as mentors to the spokes</t>
  </si>
  <si>
    <t>Make available the mentoring toolkits to all mentors to be used in the mentoring of spokes</t>
  </si>
  <si>
    <t>Onsite training of  spoke sites on PED care according to the training template validated at the national level ( one district in the Center HD Biyem-Assi and one district in the East  HD Bertoua)</t>
  </si>
  <si>
    <t>fill gaps identified in the hubs including the ECHO platform</t>
  </si>
  <si>
    <t xml:space="preserve">Provide transport reimbursement and mentoring fee  for mentors </t>
  </si>
  <si>
    <t>Joint regional and district supervision of PTCE</t>
  </si>
  <si>
    <t>Define standardized criteria for certification of mentors and sites</t>
  </si>
  <si>
    <t>Print Certificates and Organise award ceremony for HF that achieve PTCE Certification standards</t>
  </si>
  <si>
    <t>Intensify targeted testing using screening tools to assess for risk and identify the most at risk and vulnerable children/adolescents at facility and community levels, children with malnutrition, presumed TB or confirmed TB</t>
  </si>
  <si>
    <t>Offer systematic testing to children &lt;5 years in the malnutrition and hospitalisation units and Offer targeted  testing to C/A at  all low yield entry points</t>
  </si>
  <si>
    <t>Systematic testing of children and adolescents in TB units( presumptive and confirmed cases) and adolescents in the STI clinics</t>
  </si>
  <si>
    <t xml:space="preserve">Offer odd hours testing to children and adolescents at the facility </t>
  </si>
  <si>
    <t xml:space="preserve">Organise facility led community activities to reach children who can't come to the facilty </t>
  </si>
  <si>
    <t>Offer HTS to OVC with the collaboration of the community partners</t>
  </si>
  <si>
    <t xml:space="preserve"> Linelist all eligible biological children (below or equal to 19 years) of all newly ART initiated women </t>
  </si>
  <si>
    <t xml:space="preserve"> Linelist biological siblings of newly identified C/ALHIV on ART</t>
  </si>
  <si>
    <t xml:space="preserve">Linelist sexual contacts of adolescents sexually active </t>
  </si>
  <si>
    <t>Linelist all children in the household of adult clients on ART (context: pediatric surge)</t>
  </si>
  <si>
    <t>support implementation of Anonymous ICT for ALHIV</t>
  </si>
  <si>
    <t xml:space="preserve">Identify, test children and adolescents suspect cases in the community with the collaboration of CHWs </t>
  </si>
  <si>
    <t>train adolescent adolescent champions and HCWs on adolescent friendly services</t>
  </si>
  <si>
    <t xml:space="preserve">Organise Refresher training on pediatric surge at the level of each district </t>
  </si>
  <si>
    <t>Provide Airtime for health facility P surge focal point at the level of the PEPFAR supported sites not consider initially as a leader site for the scan of the mother and chlidren scanforms</t>
  </si>
  <si>
    <t xml:space="preserve">Airtime for district pediatric surge focal points for daily zoom meetings </t>
  </si>
  <si>
    <t xml:space="preserve">Transport reimbursement for community tracking of biological children of mother living with HIV, biological sibling of children living with HIV, suspect cases…by the district team </t>
  </si>
  <si>
    <t>Printing of the pediatric screening tool for community activities and register for facility testing</t>
  </si>
  <si>
    <t>Support joint suport supervision by district and regional teams at the level of the health areas</t>
  </si>
  <si>
    <t>Support coordination meeting for the P surge at district level</t>
  </si>
  <si>
    <t>organise community  health screening campaigns( blood pressure/ blood sugar screenig for adults and malaria rapid test/ nutrition screening  for children) in households coupled with HIV testing</t>
  </si>
  <si>
    <t xml:space="preserve"> train adolescent champions to identify their social network for testing</t>
  </si>
  <si>
    <t xml:space="preserve">Collaborate with MINprof/ MinJEC (Ministry of Youth and Family)  to mobilize out-of-school adolescents and reach them with Testing services </t>
  </si>
  <si>
    <t>Collaborate with youth association networks to reach and test out-of-school youth</t>
  </si>
  <si>
    <t>collaborate wih MINAS to test vulnerable children( handicap, orphans)</t>
  </si>
  <si>
    <t>training of district/facility staff on DSD ART models to support retention of c/ALHIV in care</t>
  </si>
  <si>
    <t>Strengthen the functioning of existing age specific support group with ART dispensation</t>
  </si>
  <si>
    <t>Creation of new age specific support groups with ART dispensation</t>
  </si>
  <si>
    <t>Transport reimbursement for parents / care givers of  indigenous children  to ensure children participate in support groups</t>
  </si>
  <si>
    <t>Scale up MMD for eligible children in all supported sites</t>
  </si>
  <si>
    <t>Line list all stable C/ALHIV on ART for MMD</t>
  </si>
  <si>
    <t>line list all C/ALHIV in boarding schools and organise a special support group acitivity to promote adherence and MMD to these clients</t>
  </si>
  <si>
    <t>Identify parent/children by family and reinforce family clinic model</t>
  </si>
  <si>
    <t xml:space="preserve"> Do a catography of all C/ALHIV of clients in  boarding  school for MMD</t>
  </si>
  <si>
    <t>Scale up pediatric clinic days in all facilities to facilitate one stop shop model (Extra hours for dispensation of children and adolescents during extended hours)</t>
  </si>
  <si>
    <t>Work with adolescent champions to scale up community ART dispensation (CAD) for ALHIV</t>
  </si>
  <si>
    <t>Collaborate with OVC partner to scale up CAD for C/ALHIV enrolled in the OVC project</t>
  </si>
  <si>
    <t>train and mentor HCW on the implementation of WHO STOP AIDS Approach to diagnose and manage children with AHD</t>
  </si>
  <si>
    <t>Organize onsite training sessions on SDAI in the supported health Facilities</t>
  </si>
  <si>
    <t>Collaborate with satellite sites to link clients into ART in hard to reach areas</t>
  </si>
  <si>
    <t>Collaborate with OVC partners to track all children and adolescents who missed linkage  to ART</t>
  </si>
  <si>
    <t xml:space="preserve">Treatment preparation by APS and M2M for parents/ALHIV to reduce denial </t>
  </si>
  <si>
    <t>Use of expert clients, M2M and adolecent champions to track children and adolescents who missed initiation</t>
  </si>
  <si>
    <t>Transport reimbursement to needy clients from community to facility for linkage</t>
  </si>
  <si>
    <t>Training and continuous mentorship  of HCW on Pediatric and adolescent care and treatment</t>
  </si>
  <si>
    <t>Weekly review of pediatric patient files to ensure that children are receiving optimized antiretroviral treatment.</t>
  </si>
  <si>
    <t>Transport reimbursement for HCWs providing extended  hours services and weekend services to support Linkage, rapid ART initiation and dispensation</t>
  </si>
  <si>
    <t>M2.1 Intensify age-appropriate treatment literacy to CLHIV and their parents/caregivers to understand HIV, the importance of ART adherence, and self-care practices</t>
  </si>
  <si>
    <t>strengthen psychosocial support for children and adolescents/caregivers using adolescent Champions and expert clients</t>
  </si>
  <si>
    <t>make available disclosure and transition checklist  to all facilities</t>
  </si>
  <si>
    <t>line list all adolescent from 15 years for preparation for transition to adult care</t>
  </si>
  <si>
    <t>enroll all linelisted adolescents to transition support group</t>
  </si>
  <si>
    <t>transition all adolescent to adult care from the age of 19years</t>
  </si>
  <si>
    <t>Support district and regional teams (RTG, RDPH, Ips, CBOs, CSOs ETC) to a working session to select therapeutic education topics, and design points/flip charts for use by HCWs.</t>
  </si>
  <si>
    <t xml:space="preserve">print flyers, posters, banners and communication materials with new HIV Narrative like U=U Messaging etc,  to improve patient treatment literacy and improve demand creation for HIV services </t>
  </si>
  <si>
    <t>organise and support On-the-Job trainings on educating clients on the selected key TPE topics.</t>
  </si>
  <si>
    <t>support and monitor implementation of routine age-specific patient treatment literacy and ensure proper documentation of TPE sessions</t>
  </si>
  <si>
    <t>Train and mentor/coach HCWs on tracking of C/ALHIV who interrupt treatment</t>
  </si>
  <si>
    <t xml:space="preserve">Onsite training of HCWs and expert clients on re-engagement interviews, including screening or stigma/mental health evaluation and management,  its documentation and use for client centred care </t>
  </si>
  <si>
    <t>collaborate and support CBOs/community patners to track clients who interrupt care till final outcome</t>
  </si>
  <si>
    <t>collaborate with OVC Patners, M2M, CHW etc to Track in the community C/ALHIV who miss their ARV appointment</t>
  </si>
  <si>
    <t>collaborate with OVC Patners, M2M, CHW etc to collect VL Sample in the community or track C/ALHIV who missed VL Sample collection</t>
  </si>
  <si>
    <t>collaborate with OVC Patners, M2M, CHW etc to provide adherence support  in the community/Home and facility to C/ALHIV  with adherence challenges or HVL</t>
  </si>
  <si>
    <t>Collaborate with the community partner  to make available OVC register in supported sites and ensure the proper documentation</t>
  </si>
  <si>
    <t xml:space="preserve"> organise meetings to Create  awareness of OTZ program to hospital administration and create adolescent friendly corners</t>
  </si>
  <si>
    <t>Make available review OTZ HCW and OTZ champion  training modules</t>
  </si>
  <si>
    <t>TOT for OTZ</t>
  </si>
  <si>
    <t>Adapt OTZ HCW and OTZ champion  training modules</t>
  </si>
  <si>
    <t>Training of M2M/HCWs/ OTZ champions using OTZ plus  training modules</t>
  </si>
  <si>
    <t>Define key processes and outcome indicators, job aids and M&amp;E monitoring tools</t>
  </si>
  <si>
    <t>caregivers TOT training for HCWs in PTCEs</t>
  </si>
  <si>
    <t xml:space="preserve"> Training of 30 OTZ care givers in 6 OTZ Champions in PTCEs, using the OTZ modules ( 20 OTZ caregivers in the Center, 10 in the East/ 4 OTZ champions in the Center and 2 in the East)</t>
  </si>
  <si>
    <t xml:space="preserve"> Define key processes and outcome indicators, job aids and M&amp;E monitoring tools</t>
  </si>
  <si>
    <t xml:space="preserve">identify adolescent friendly HCWs </t>
  </si>
  <si>
    <t>Train and mentor HCW on OTZ package of care</t>
  </si>
  <si>
    <t>Identify, enrol and build capacity of OTZ teams ( 5 members/team) for OTZ activities</t>
  </si>
  <si>
    <t>Mentor adolescent champions to facilitate enrolment of adolescents into OTZ clubs</t>
  </si>
  <si>
    <t>Support implementation of OTZ activities in the  6 PTCE (creation OTZ teams, clubs etc)</t>
  </si>
  <si>
    <t>Train OTZ  members on income generating activities ( soap, Yogoaut, Dyeing, etc)</t>
  </si>
  <si>
    <t>Organise recreation activities to empower OTZ members and reduce stigma</t>
  </si>
  <si>
    <t>Support transport reimbursemnt for members who attend OTZ  activities</t>
  </si>
  <si>
    <t>Printing of T shirt for OTZ members</t>
  </si>
  <si>
    <t xml:space="preserve">recruit adolescents champions to support OTZ implementation in high volume sites </t>
  </si>
  <si>
    <t xml:space="preserve">certificate of appreciation to OTZ menbers who achieve  triple zero </t>
  </si>
  <si>
    <t>Adapt existing AGYW standard curriculum</t>
  </si>
  <si>
    <t>Establish AGYW clubs with continuous peer-led educational sessions using a standard curriculum</t>
  </si>
  <si>
    <t>Identify and train AGYW peer educators on the use of standard curriculum – gender norms, HIV prevention and treatment</t>
  </si>
  <si>
    <t>coach and mentors HCWs on the implemetaion of AGYW strategy</t>
  </si>
  <si>
    <t>Develop a work plan for AGYW peer educators and supervise their activities</t>
  </si>
  <si>
    <t>Work with School administrators, traditional authorities, vocational training centers owners etc  to have health promotion activities for AGYW in and out of school</t>
  </si>
  <si>
    <t>Provide prevention services based on individual needs and reach partners of sexually active AGYW with services</t>
  </si>
  <si>
    <t>onsite training for HCW on integration of ICT, IPV and GBV services and first line support through LIVES</t>
  </si>
  <si>
    <t>Print and make available GBV registers and SOPs in all our supported site</t>
  </si>
  <si>
    <t>Ensure that all supported site have a flow of management of GBV cases</t>
  </si>
  <si>
    <t>Make sure that all supported sites have a referral system for the GBV cases</t>
  </si>
  <si>
    <t>Strengthen the tracking system of GBV cases ( Make available GBV register, ensure proper documentation and reminder calls or SMS for appointments)</t>
  </si>
  <si>
    <t xml:space="preserve">Elaborate, print and disseminate  a follow up sheet for the GBV cases </t>
  </si>
  <si>
    <t>Ensure provision of first line support and linkage to GBV services for survivors</t>
  </si>
  <si>
    <t>support HF/HCWs to use media communication technologies to reach adolescents and young people with prevention messages (100% jeunes, among youths, U-reporting, picnics, social networking, etc.)</t>
  </si>
  <si>
    <t>collaborate with CSOs, RECAJ+, social media influencers and community leaders to reach community members with U=U Messaging using social media plateforms</t>
  </si>
  <si>
    <t>colllaborate with District and regional teams to ensure availability of HPV Vaccines at supported  HF, and develop tools for documentation</t>
  </si>
  <si>
    <t>work with Hospital administration to provide one-stop-shop model of ARV Dispensation and Vaccination</t>
  </si>
  <si>
    <t>Include HPV sensitisation in the psychosocial counselling package during routine visit for children 9-14 years</t>
  </si>
  <si>
    <t>Line list all c/ALHIV aged 9 -14yrs for HPV Vaccination</t>
  </si>
  <si>
    <t>sensitize and councel parents/caregivers on importance of HPV vaccination to reduce HPV vaccine hesistancy</t>
  </si>
  <si>
    <t>Support HPV Vaccination of all linelisted C/ALHIV aged 9-14yrs using a one stop shop model at time of ART Visit</t>
  </si>
  <si>
    <t>collaborate with OVC Patners, M2M, CHW etc to track in the community C/ALHIV who missed HPV Vaccination and refer to health facility</t>
  </si>
  <si>
    <t xml:space="preserve">support proper documentation, and monitoring of HPV Vaccination amongs using the tools develop </t>
  </si>
  <si>
    <t>collaborate with District dialogue structures, OVC Patners, M2M, CHW etc to sensitize in the community on Importance of HPV Vaccination for all children aged 9-14yrs</t>
  </si>
  <si>
    <t>line list siblings of  c/ALHIV who are aged 9 -14yrs for HPV Vaccination</t>
  </si>
  <si>
    <t>Support  HPV Vaccination of all linelisted siblings of C/ALHIV who are aged 9-14yrs who come to health facility or during home visit by HCWs</t>
  </si>
  <si>
    <t>collaborate with peace corps to train and build the capacity ALHIV on leadership, engagement and ownership of HIV activities</t>
  </si>
  <si>
    <t>advocate for development of scholarship schemes for ALHIV</t>
  </si>
  <si>
    <t>Collaborate with IPs, CSO, CBOs, RTGs etc to place trained youths as interns in various NGO/Units/Commities/Services to build their capacities</t>
  </si>
  <si>
    <t>collaborate with District, CSOs, CBOs, RTGs etc to identify existing associations, youths with similar aspirations/challenges, and support the registration/legalisation of these associations or youths as a legal entities</t>
  </si>
  <si>
    <t>support these associations in the drafting of the association vision,scope of work, and organigram</t>
  </si>
  <si>
    <t xml:space="preserve">advocate for inclusion/patnership with of these organisation during the implementation of prevention, treatment and care acitiviies in the region </t>
  </si>
  <si>
    <t>Organize training of HCWs on TB screening, identification of presumptive cases and investigation in children, adults and adolescents as well as its documentation</t>
  </si>
  <si>
    <t>TBHIV01</t>
  </si>
  <si>
    <t>Onsite training of frontline staff at all entry points with emphais on ( MCH, OPD, IPD, ART OVC, and nutrition Clinics) on the integration of systematic TB screening services and identification of presumptive cases and linkage to TB diagnostic investigations as well as proper documentation (TB screening tools, TB screening registers)</t>
  </si>
  <si>
    <t>TBHIV02</t>
  </si>
  <si>
    <t>Advocate with facility heads the adaptation of facility entry points registers to include documentation of TB screening</t>
  </si>
  <si>
    <t>TBHIV03</t>
  </si>
  <si>
    <t>Support the introduction of TB screening/presumtive registers at all entry points</t>
  </si>
  <si>
    <t>TBHIV04</t>
  </si>
  <si>
    <t>Advocate for availability of urine LF-LAM as initial TB investigation tool among PLHIV stage III and IV</t>
  </si>
  <si>
    <t>TBHIV05</t>
  </si>
  <si>
    <t>Support the health facilities on establishing a goood patient flow from TB screening to diagnosis across the service delivery points</t>
  </si>
  <si>
    <t>TBHIV06</t>
  </si>
  <si>
    <t>Build the capacity of health care providers working at HIV stand-alone sites on TB screening, follow up of TB presumptive cases including sample collection and handling and  patient management</t>
  </si>
  <si>
    <t>TBHIV07</t>
  </si>
  <si>
    <t>Provide SOPs, job aids, registers, posters on TB screening, diagnosis and management, cough etiquette, TPT, etc.</t>
  </si>
  <si>
    <t>TBHIV08</t>
  </si>
  <si>
    <t>Provide sample collection materials (sputum mugs, gloves, nasopharyngeal aspiration kits, etc.)</t>
  </si>
  <si>
    <t>TBHIV09</t>
  </si>
  <si>
    <t>Provide all TB tools including TB screening/presumptive registers, TB lab request forms and referral forms, TPT registers, etc</t>
  </si>
  <si>
    <t>TBHIV10</t>
  </si>
  <si>
    <t>Provide continuous mentoring, coaching and supportive supervision to these sites</t>
  </si>
  <si>
    <t>TBHIV11</t>
  </si>
  <si>
    <t>Support the review and implementation of an effective sample referral network framework with all stakeholders (RDPH, RTG-TB, RTG-HIV, reference laboratory, clinical and laboratory IP) adaptated to each region (hub and spoke model)</t>
  </si>
  <si>
    <t>TBHIV12</t>
  </si>
  <si>
    <t>Provide cooler boxes for referral / transportation of TB samples and ensure all stand-alone HIV clinics are integrated in the overall HIV/TB sample referral and transport network of the regions</t>
  </si>
  <si>
    <t>TBHIV13</t>
  </si>
  <si>
    <t>Provide all TB tools including TB laboratory request forms and referral forms</t>
  </si>
  <si>
    <t>TBHIV14</t>
  </si>
  <si>
    <t xml:space="preserve">Advocate to utilise GeneXpert POC machines for both HIV and TB testing </t>
  </si>
  <si>
    <t>TBHIV15</t>
  </si>
  <si>
    <t>Implement same day transportation of specimen to testing site</t>
  </si>
  <si>
    <t>TBHIV16</t>
  </si>
  <si>
    <t>Reinforce the ''data to care platform" for TB sample tracking to ensure effective tracking of samples and results (Lab clinical interface, reference lab,sites, testing point)</t>
  </si>
  <si>
    <t>TBHIV17</t>
  </si>
  <si>
    <t>Onsite training of HCWs on use of molecular diagnositic for TB Diagnosis among PLHIV</t>
  </si>
  <si>
    <t>TBHIV18</t>
  </si>
  <si>
    <t>collaborate with District and regional teams to map out GenXpert platforms/molecular diagnositic platforms and define a sample transport network between hub and spoke sites</t>
  </si>
  <si>
    <t>TBHIV19</t>
  </si>
  <si>
    <t>support sample transport of sputum for testing on GenXpert plateform</t>
  </si>
  <si>
    <t>TBHIV20</t>
  </si>
  <si>
    <t>support sites to use a CQI approach to review performances of Suspected TB Cases who benefited from molecular testing.</t>
  </si>
  <si>
    <t>TBHIV21</t>
  </si>
  <si>
    <t>support and monitor for proper documentation using the Presumptive TB registers</t>
  </si>
  <si>
    <t>TBHIV22</t>
  </si>
  <si>
    <t>Provide continuous mentoring, coaching and supportive supervision</t>
  </si>
  <si>
    <t>TBHIV23</t>
  </si>
  <si>
    <t xml:space="preserve">Conduct an evaluation of the initial rollout phase of the 3-HP regimen in the centre and east regions (Assess the implementation of 3HP and ensure proper documentation in standard tools. </t>
  </si>
  <si>
    <t>TBHIV24</t>
  </si>
  <si>
    <t>Training, coaching and mentorship of HCW  on short course regiment of TPT and its documentation</t>
  </si>
  <si>
    <t>TBHIV25</t>
  </si>
  <si>
    <t>Support the provision of short-course regimen of TPT (3HP) in selected pilot sites</t>
  </si>
  <si>
    <t>TBHIV26</t>
  </si>
  <si>
    <t>Support availability of tools on TPT 3HP documentation</t>
  </si>
  <si>
    <t>TBHIV27</t>
  </si>
  <si>
    <t>Advocacy meetings with RDPH, TB-RTG, HIV-RTG, PNLT, NACC, CDC, IP and major health facilities to routinise the use of TPT register for cohort monitoring</t>
  </si>
  <si>
    <t>TBHIV28</t>
  </si>
  <si>
    <t>Onsite Refresher training of the HCW on TPT provision as well as documentation in TPT register and on TPT stock management to maintain a consistent supply of TPT and avoid stock out</t>
  </si>
  <si>
    <t>TBHIV29</t>
  </si>
  <si>
    <t>Make available algorithms, SOPs on TPT administration depending on the molecule, management of drug interruptions and drug related side effects</t>
  </si>
  <si>
    <t>TBHIV30</t>
  </si>
  <si>
    <t>Support education session on adherence of TPT and psychosocial support</t>
  </si>
  <si>
    <t>TBHIV31</t>
  </si>
  <si>
    <t>Linelist all TPT eligible PLHIV</t>
  </si>
  <si>
    <t>TBHIV32</t>
  </si>
  <si>
    <t xml:space="preserve">Active tracking of eligible PLHIV to initiate TPT </t>
  </si>
  <si>
    <t>TBHIV33</t>
  </si>
  <si>
    <t xml:space="preserve">Support implementation of DSD models for TPT for stable patients </t>
  </si>
  <si>
    <t>TBHIV34</t>
  </si>
  <si>
    <t xml:space="preserve"> Intensify catch up plan for all patients eligible for TPT</t>
  </si>
  <si>
    <t>TBHIV35</t>
  </si>
  <si>
    <t>Support follow-up and documentation of TPT in registers and patient records</t>
  </si>
  <si>
    <t>TBHIV36</t>
  </si>
  <si>
    <t>Support follow-up and documentation of INH in registers and patient records</t>
  </si>
  <si>
    <t>TBHIV37</t>
  </si>
  <si>
    <t>Organize training of facility staff and community health workers on active search of TB in the community and linkage to facilities</t>
  </si>
  <si>
    <t>TBHIV38</t>
  </si>
  <si>
    <t>Support the creation of a network for TB referrals from communities including suspect cases and cases diagnosed in satelite sites to facilities for proper management</t>
  </si>
  <si>
    <t>TBHIV39</t>
  </si>
  <si>
    <t>Support the development/revision of an integrated tool for intensive TB/HIV case finding to be used for facility outreach community activities</t>
  </si>
  <si>
    <t>TBHIV40</t>
  </si>
  <si>
    <t>Develop a collaborative framework  with all TB partners, dialogue structures in the district and implement a transport reimbursement approach for all suspected cases of TB actively referred from the community</t>
  </si>
  <si>
    <t>TBHIV41</t>
  </si>
  <si>
    <t>Organize a refresh TOT on pediatric TB screening, identification of presumptive cases and i and investigation  as well as its documentation</t>
  </si>
  <si>
    <t>TBHIV42</t>
  </si>
  <si>
    <t>Onsite Capacity building of the HCW in children and adolescents on TB diagnosis investigations ( clinical evaluation,  CXR reading and interpretation, and Lab based diagnosis) using the hub and spoke model</t>
  </si>
  <si>
    <t>TBHIV43</t>
  </si>
  <si>
    <t>Onsite Refresher training of frontline staff on sample collection procedures (Gastric aspiration, nasopharyngeal aspiration) and LF-LAM testing</t>
  </si>
  <si>
    <t>TBHIV44</t>
  </si>
  <si>
    <t>Make available SOP, algorithms, job aids for TB sample collection and diagnosis</t>
  </si>
  <si>
    <t>TBHIV45</t>
  </si>
  <si>
    <t>Integrate active TB case finding in the pediatric surge activities</t>
  </si>
  <si>
    <t>TBHIV46</t>
  </si>
  <si>
    <t>Integrate TB modules in the training for the pediatric centres of excellence</t>
  </si>
  <si>
    <t>TBHIV47</t>
  </si>
  <si>
    <t xml:space="preserve"> Advocate with facility heads the adaptation of pediatric entry points registers to include documentation of TB screening</t>
  </si>
  <si>
    <t>TBHIV48</t>
  </si>
  <si>
    <t>Support the health facilities on establishing a goood patient flow from TB screening to diagnosis across the pediatric service delivery points</t>
  </si>
  <si>
    <t>TBHIV49</t>
  </si>
  <si>
    <t>Advocate for availability of urine LF-LAM as initial TB investigation tool among among CALHIV</t>
  </si>
  <si>
    <t>TBHIV50</t>
  </si>
  <si>
    <t>Make available nasopharyngeal and gastric aspiration kits in facilities</t>
  </si>
  <si>
    <t>TBHIV51</t>
  </si>
  <si>
    <t>Advocate for elimination of user fee for CXR among children with presumptive TB</t>
  </si>
  <si>
    <t>TBHIV52</t>
  </si>
  <si>
    <t>Provide subsidee for CXR among CALHIV with presumptive TB</t>
  </si>
  <si>
    <t>TBHIV53</t>
  </si>
  <si>
    <t>Onsite Refresher training of TB focal point and CHW to conducted house hold contact investigation for all under-five contacts of co-infected pulmonary TB/HIV patients and proper documentation of the contact investigation registers</t>
  </si>
  <si>
    <t>TBHIV54</t>
  </si>
  <si>
    <t>Support documentation and reporting in contact tracing registers and patients outcome</t>
  </si>
  <si>
    <t>TBHIV55</t>
  </si>
  <si>
    <t>Ensure provision of education and adherence sessions to the patients and caregivers on TB literacy</t>
  </si>
  <si>
    <t>TBHIV56</t>
  </si>
  <si>
    <t>HMIS</t>
  </si>
  <si>
    <t>Perform initial visit in all supported facilities to assess systems in place, the needs of registers, patient files, reporting tools and equiments for electronic tool (computers, routers, servers…) (ONCE)</t>
  </si>
  <si>
    <t>HMIS01</t>
  </si>
  <si>
    <t>Provide registers and tools  to fill the gap observed during initial site visit</t>
  </si>
  <si>
    <t>HMIS02</t>
  </si>
  <si>
    <t>Organise follow up meetings to assess the level of implementation of corrective actions (AS NEEDED)</t>
  </si>
  <si>
    <t>HMIS03</t>
  </si>
  <si>
    <t>Organise a workshop to review existing SOP, register and Job aids for data validation and reporting, Dashboards and facility weekly and monthly template and develop any missing tool (ANNUAL)</t>
  </si>
  <si>
    <t>HMIS04</t>
  </si>
  <si>
    <t>Train all M&amp;E mentors of the zone ( Center and East) on MER Indicators,Electronic tools and the data flow. (ANNUAL)</t>
  </si>
  <si>
    <t>HMIS05</t>
  </si>
  <si>
    <t>Train all Data clerks and ACRR of the zone on Registers, data flow and Electronic tools (ANNUAL)</t>
  </si>
  <si>
    <t>HMIS06</t>
  </si>
  <si>
    <t>Train facility doctors and clinical mentors on patient follow up tools and registers (Patients files, CCM Registers, tracking registers, appointment registers, AHD)</t>
  </si>
  <si>
    <t>HMIS07</t>
  </si>
  <si>
    <t>Train APS on patient follow up tools (Patients files, CCM Registers, tracking registers, appointment registers, AHD)</t>
  </si>
  <si>
    <t>HMIS08</t>
  </si>
  <si>
    <t>Regular tracking  of tools availability on site (registers, charts, forms) trough routine feedbacks (MONTHLY)</t>
  </si>
  <si>
    <t>HMIS09</t>
  </si>
  <si>
    <t>Print out National and internal SOPs and job aids and follow up the distribution</t>
  </si>
  <si>
    <t>HMIS10</t>
  </si>
  <si>
    <t>Print out registers according to gaps observed or any update made, reporting tools (ANNUAL)</t>
  </si>
  <si>
    <t>HMIS11</t>
  </si>
  <si>
    <t>Print out patients files for 1 year coverage bases on anticipated attrition in TX_CURR and Distribute to health Facilities (ANNUAL)</t>
  </si>
  <si>
    <t>HMIS12</t>
  </si>
  <si>
    <t xml:space="preserve">Ensure the security of confidentiality of data </t>
  </si>
  <si>
    <t>HMIS13</t>
  </si>
  <si>
    <t>Ensure regular back up data and timely available for recovering</t>
  </si>
  <si>
    <t>HMIS14</t>
  </si>
  <si>
    <t>Onsite mentroship of clinician to boost data use of system to improve patient care</t>
  </si>
  <si>
    <t>HMIS15</t>
  </si>
  <si>
    <t>Provide IT equipments according to the need assessment result</t>
  </si>
  <si>
    <t>HMIS16</t>
  </si>
  <si>
    <t>Organise refresher trainings sites M&amp;E data clerks and ACRR, site leads/mentors</t>
  </si>
  <si>
    <t>HMIS17</t>
  </si>
  <si>
    <t>Peform routine mentorship to ensure  the respect of data flow</t>
  </si>
  <si>
    <t>HMIS18</t>
  </si>
  <si>
    <t>Continuos tracking of new program monitoring requierements from Donor and integrate minor changes in reporting tools and analytics</t>
  </si>
  <si>
    <t>HMIS19</t>
  </si>
  <si>
    <t>Hold regular technical working groups with Electronic tool developpers and follow up of recommedations (Monthly)</t>
  </si>
  <si>
    <t>HMIS20</t>
  </si>
  <si>
    <t>Organise a workshop with Electronic tools developpers to update knowledges on new features following recommendations</t>
  </si>
  <si>
    <t>HMIS21</t>
  </si>
  <si>
    <t>Develop a traker to follow up all monthly review meetings at site level</t>
  </si>
  <si>
    <t>HMIS22</t>
  </si>
  <si>
    <t>Support quarterly coordination meetings with RTGs and other stackeholders of the East and Center Regions to review programme performances and progress in data quality (QUARTERLY)</t>
  </si>
  <si>
    <t>HMIS23</t>
  </si>
  <si>
    <t>Onsite training and mentoring of data clerks and ACRR on report generation techniques and data quality activities (CONTINUOUSLY)</t>
  </si>
  <si>
    <t>HMIS24</t>
  </si>
  <si>
    <t>Conduct Semi annual M&amp;E workshop to harmonise M&amp;E data management process, enhance capacity of M&amp;E Mentors on MER updates, new reporting requirements, tools and innovations. (QUARTERLY)</t>
  </si>
  <si>
    <t>HMIS25</t>
  </si>
  <si>
    <t>Monitor the Data clerks to ensure that daily entries are done with no backlog at any point in time (CONTINUOUSLY)</t>
  </si>
  <si>
    <t>HMIS26</t>
  </si>
  <si>
    <t>Complete Preventive maintanance of Electronic systems including IT equipements to ensure sites do not experience system downtime (QUARTERLY)</t>
  </si>
  <si>
    <t>HMIS27</t>
  </si>
  <si>
    <t>Ensure the maintenance and the purchase of equipements in case of damage (CONTINUOSLY)</t>
  </si>
  <si>
    <t>HMIS28</t>
  </si>
  <si>
    <t>Provide Airtime for Internet in all supported facilities for data sharing and system updates (MONTHLY)</t>
  </si>
  <si>
    <t>HMIS29</t>
  </si>
  <si>
    <t>Generate daily, weekly, and monthly reports from Electronic tools in each facility to improve timeliness of reporting, reliability, and data use within clinics (CONTINUOUSLY)</t>
  </si>
  <si>
    <t>HMIS30</t>
  </si>
  <si>
    <t>Develop, deploy and maintain any software and mobile application necessary to enhance the use of health information and improve the quality of service</t>
  </si>
  <si>
    <t>HMIS31</t>
  </si>
  <si>
    <t>Hold routine technical working groups with software developpers to address gaps and monitor progress</t>
  </si>
  <si>
    <t>HMIS32</t>
  </si>
  <si>
    <t>Expand APS scorecard for performance-based evaluation of APS across regions and use RECAP+'s Community Scorecard for qualitative data from CLM</t>
  </si>
  <si>
    <t>HMIS33</t>
  </si>
  <si>
    <t>Development of an electronic survey tools and deploy them via mobile devices, utilizing a Survey Management System (SMS) to centrally manage and monitor collected data.</t>
  </si>
  <si>
    <t>HMIS34</t>
  </si>
  <si>
    <t>Ensure onsite Daily, weekly and monthly Data collection and reporting (DAILY)</t>
  </si>
  <si>
    <t>HMIS35</t>
  </si>
  <si>
    <t>Report uploaded off-site in the Drive to update the dashboard on a daily basis</t>
  </si>
  <si>
    <t>HMIS36</t>
  </si>
  <si>
    <t>Ensure that Electronic data Backup are exported and Uploaded on drive Daily</t>
  </si>
  <si>
    <t>HMIS37</t>
  </si>
  <si>
    <t>Weekly and monthly report shared with the donor and stakeholders</t>
  </si>
  <si>
    <t>HMIS38</t>
  </si>
  <si>
    <t>Quarterly program progress reporting (DATIM entry, Narrative and MiniPOART preparation)</t>
  </si>
  <si>
    <t>HMIS39</t>
  </si>
  <si>
    <t>Program review replanning, M&amp;E Plan update</t>
  </si>
  <si>
    <t>HMIS40</t>
  </si>
  <si>
    <t>Conduct daily, weekly and monthly onsite data validation: Ensure completeness of registers</t>
  </si>
  <si>
    <t>HMIS41</t>
  </si>
  <si>
    <t>Hold weekly and monthly data validation meetings, ensure documentation and validation report shared</t>
  </si>
  <si>
    <t>HMIS42</t>
  </si>
  <si>
    <t>Organize and conduct a recount of data for key indicators from various registers prior to quartely report and traceable</t>
  </si>
  <si>
    <t>HMIS43</t>
  </si>
  <si>
    <t>Attend monthly data validation at facility level by an above site</t>
  </si>
  <si>
    <t>HMIS44</t>
  </si>
  <si>
    <t>Provide technical assistance in entering and validation of DHIS2 data at facility level</t>
  </si>
  <si>
    <t>HMIS45</t>
  </si>
  <si>
    <t>Provide technical assistance in entering and validation of DHIS2 data at District level</t>
  </si>
  <si>
    <t>HMIS46</t>
  </si>
  <si>
    <t>Provide support to MoH during quarterly data validation meetings at Regional level</t>
  </si>
  <si>
    <t>HMIS47</t>
  </si>
  <si>
    <t>Conduct monthly data triangulation between DAMA, DHIS2 and DATIM</t>
  </si>
  <si>
    <t>HMIS48</t>
  </si>
  <si>
    <t>Hold a monthly meeting, RTG M&amp;E and IP to discuss on the result of monthly data triangulation</t>
  </si>
  <si>
    <t>HMIS49</t>
  </si>
  <si>
    <t>Conduct site visit to adress any data issue observed</t>
  </si>
  <si>
    <t>HMIS50</t>
  </si>
  <si>
    <t>Participate to National data validation</t>
  </si>
  <si>
    <t>HMIS51</t>
  </si>
  <si>
    <t>Identify sites to carryout quarterly DQA (N/B: 100% of sites have to benefit at least 1 DQA in a year for all the indicators)</t>
  </si>
  <si>
    <t>HMIS52</t>
  </si>
  <si>
    <t>Build quarterly DQA teams to support the Activity</t>
  </si>
  <si>
    <t>HMIS53</t>
  </si>
  <si>
    <t>Hold quarterly Meeting to Brief the team on the DQA tools and processes</t>
  </si>
  <si>
    <t>HMIS54</t>
  </si>
  <si>
    <t>Quaterly DQA activity proper (recount data, files crosscheck, document completeness)</t>
  </si>
  <si>
    <t>HMIS55</t>
  </si>
  <si>
    <t>Quarterly Meeting to Debrief on DQA findings and action plan</t>
  </si>
  <si>
    <t>HMIS56</t>
  </si>
  <si>
    <t>Follow-up on the recommendations on the previous DQA</t>
  </si>
  <si>
    <t>HMIS57</t>
  </si>
  <si>
    <t>DQA report writing and share with donor and stakeholders</t>
  </si>
  <si>
    <t>HMIS58</t>
  </si>
  <si>
    <t>Regular indification of new program requierement and develop to visualise progress and extend access to facility level staffs and stakeholders</t>
  </si>
  <si>
    <t>HMIS59</t>
  </si>
  <si>
    <t>Identify and train key stakeholders on the use of developped Dashboard for a better efficiency (Majors UPEC, Coordo UPEC and RTG)</t>
  </si>
  <si>
    <t>HMIS60</t>
  </si>
  <si>
    <t>Daily monitoring of dashboard with a focus on key performance indicators</t>
  </si>
  <si>
    <t>HMIS61</t>
  </si>
  <si>
    <t>Hold and support weekly Performance Review Meetings</t>
  </si>
  <si>
    <t>HMIS62</t>
  </si>
  <si>
    <t>Hold and support monthly Performance Review Meetings</t>
  </si>
  <si>
    <t>HMIS63</t>
  </si>
  <si>
    <t>Collaborate with CHRISS foundation to strengthen the documentation of sample transportation and the electronic tracking tool</t>
  </si>
  <si>
    <t>HMIS64</t>
  </si>
  <si>
    <t>Provide a technical assistance to District to ensure the appropriate documentation of P-surge in primary source</t>
  </si>
  <si>
    <t>HMIS65</t>
  </si>
  <si>
    <t>Plan and perform routine a DQA on P-surge to ensure the correct reporting and follow up on corrective measure</t>
  </si>
  <si>
    <t>HMIS66</t>
  </si>
  <si>
    <t>Provide technical assistance during weekly and monthly performance review meetings for P-surge at District level</t>
  </si>
  <si>
    <t>HMIS67</t>
  </si>
  <si>
    <t>Ensure routine supervision of pilot sites for Recency testing to ensure a proper documentation and reporting</t>
  </si>
  <si>
    <t>HMIS68</t>
  </si>
  <si>
    <t>Provide regular feedback on recency testing performance trough meetings at Regional level</t>
  </si>
  <si>
    <t>HMIS69</t>
  </si>
  <si>
    <t>Enhancing CLM Data Use: Leveraging LINK technology and the presence of RECAP+, SAFECARE will ensure real-time availability and utilization of CLM data</t>
  </si>
  <si>
    <t>HMIS70</t>
  </si>
  <si>
    <t>Reinforce the use of patient level information by clinicians to improve patient outcome, trough onsite training, coaching and mentorship</t>
  </si>
  <si>
    <t>HMIS71</t>
  </si>
  <si>
    <t>Support all CQI projects in the zone and provide continue performance monitoring and track any change</t>
  </si>
  <si>
    <t>HMIS72</t>
  </si>
  <si>
    <t>Support all development of tripple Elimination processes, reporting and performance monitoring</t>
  </si>
  <si>
    <t>HMIS73</t>
  </si>
  <si>
    <t>Evaluate staffs and Identify areas of improvement</t>
  </si>
  <si>
    <t>HMIS74</t>
  </si>
  <si>
    <t>Identify specific training with regards to the weakness observed during the evaluation</t>
  </si>
  <si>
    <t>HMIS75</t>
  </si>
  <si>
    <t>Purchase specific trainings for SI,HI,IT and M&amp;E site mentor</t>
  </si>
  <si>
    <t>HMIS76</t>
  </si>
  <si>
    <t>Support the quarterly Handshake model supervision with community partners</t>
  </si>
  <si>
    <t>HMIS77</t>
  </si>
  <si>
    <t>Support the monthly data validation meeting with other implementing partners (COSMO and CHILL projects, CHRISS Foundation)</t>
  </si>
  <si>
    <t>HMIS78</t>
  </si>
  <si>
    <t>Quarterly coordination meetings with other partners to review performance, identify areas of improvement and provide recommendations (QUARTERLY)</t>
  </si>
  <si>
    <t>HMIS79</t>
  </si>
  <si>
    <t>Hold a quarterly coordination meeting with Recap+ on CLM</t>
  </si>
  <si>
    <t>HMIS80</t>
  </si>
  <si>
    <t>Select sites to be supervised semiannual for tier 1&amp;2 and annually for tier 3&amp;4 (SEMI ANNUAL and ANNUAL)</t>
  </si>
  <si>
    <t>HMIS81</t>
  </si>
  <si>
    <t>Constitute a multidisciplinary team of SHWARI, District, facility and RTG</t>
  </si>
  <si>
    <t>HMIS82</t>
  </si>
  <si>
    <t>Organise a briefing session at RTG/Regional Delegation</t>
  </si>
  <si>
    <t>HMIS83</t>
  </si>
  <si>
    <t>Perform SIMS Assessment in selected site and provide feedbacks</t>
  </si>
  <si>
    <t>HMIS84</t>
  </si>
  <si>
    <t>Organise a debriefing meeting at RTG RTG/Regional Delegation</t>
  </si>
  <si>
    <t>HMIS85</t>
  </si>
  <si>
    <t>Plan the follow up visit 3 months after the initial</t>
  </si>
  <si>
    <t>Identify areas of improvement</t>
  </si>
  <si>
    <t>HMIS86</t>
  </si>
  <si>
    <t>Constitute the multidisciplinary team</t>
  </si>
  <si>
    <t>HMIS87</t>
  </si>
  <si>
    <t>Perform the follow up visit and evaluate the performance</t>
  </si>
  <si>
    <t>HMIS88</t>
  </si>
  <si>
    <t>Develop protocole an analysis plan</t>
  </si>
  <si>
    <t>HMIS89</t>
  </si>
  <si>
    <t>Defining the consultancy TOR and Hire an External Evaluator</t>
  </si>
  <si>
    <t>HMIS90</t>
  </si>
  <si>
    <t>Conduct 1 Pre-implementation site visit</t>
  </si>
  <si>
    <t>HMIS91</t>
  </si>
  <si>
    <t>Printing and availability of study related documentation</t>
  </si>
  <si>
    <t>HMIS92</t>
  </si>
  <si>
    <t>Conduct data analysis and intepretation</t>
  </si>
  <si>
    <t>HMIS93</t>
  </si>
  <si>
    <t>Collation and management of data</t>
  </si>
  <si>
    <t>HMIS94</t>
  </si>
  <si>
    <t>Writing study report</t>
  </si>
  <si>
    <t>HMIS95</t>
  </si>
  <si>
    <t>Present results of Evaluation</t>
  </si>
  <si>
    <t>HMIS96</t>
  </si>
  <si>
    <t>Provide support for regular site visit performed by RTG and district staffs for support supervision</t>
  </si>
  <si>
    <t>HMIS97</t>
  </si>
  <si>
    <t>Support District by providing reporting tools for non PEPFAR supported sites</t>
  </si>
  <si>
    <t>HMIS98</t>
  </si>
  <si>
    <t>Jointly Annual evaluation of data clerks and ACRR</t>
  </si>
  <si>
    <t>HMIS99</t>
  </si>
  <si>
    <t>Provide support during routine District coordination meetings and reinforce the capacity of District staffs in ensuringdata quality and use</t>
  </si>
  <si>
    <t>HMIS100</t>
  </si>
  <si>
    <t>Support any other M&amp;E activities (Research, trainings, registers updates)</t>
  </si>
  <si>
    <t>HMIS101</t>
  </si>
  <si>
    <t>Conduct a comprehensive assessment of all PMTCT service facilities.</t>
  </si>
  <si>
    <t>HSS01</t>
  </si>
  <si>
    <t>Select strategic hubs based on geographical coverage and capabilities.</t>
  </si>
  <si>
    <t>HSS02</t>
  </si>
  <si>
    <t>Evaluate infrastructure, staffing, and historical performance.</t>
  </si>
  <si>
    <t>HSS03</t>
  </si>
  <si>
    <t>Pair experienced hub staff with spoke facilities for mentorship.</t>
  </si>
  <si>
    <t>HSS04</t>
  </si>
  <si>
    <t>Establish structured schedules for site visits and virtual support.</t>
  </si>
  <si>
    <t>HSS05</t>
  </si>
  <si>
    <t>HSS06</t>
  </si>
  <si>
    <t>HSS07</t>
  </si>
  <si>
    <t>Facilitate regular forums for collaborative decision-making.</t>
  </si>
  <si>
    <t>HSS08</t>
  </si>
  <si>
    <t>Share essential resources (job aids, tools) between hub and spoke facilities.</t>
  </si>
  <si>
    <t>HSS09</t>
  </si>
  <si>
    <t>Develop and implement incentive structures to reward high-performing facilities.</t>
  </si>
  <si>
    <t>HSS10</t>
  </si>
  <si>
    <t>Develop Strategies to Improve Core Health System Strengthening Functions</t>
  </si>
  <si>
    <t>Conduct leadership training for health managers in HIV care.</t>
  </si>
  <si>
    <t>HSS11</t>
  </si>
  <si>
    <t>Develop governance tools to improve strategic oversight.</t>
  </si>
  <si>
    <t>HSS12</t>
  </si>
  <si>
    <t>Deliver targeted training programs for healthcare professionals.</t>
  </si>
  <si>
    <t>HSS13</t>
  </si>
  <si>
    <t>Emphasize counseling, treatment protocols, and patient management.</t>
  </si>
  <si>
    <t>HSS14</t>
  </si>
  <si>
    <t>Enhance data reporting through EMR and DAMA systems.</t>
  </si>
  <si>
    <t>HSS15</t>
  </si>
  <si>
    <t>Integrate data for patient monitoring and decision-making.</t>
  </si>
  <si>
    <t>HSS16</t>
  </si>
  <si>
    <t>Implement community-based care models and telemedicine.</t>
  </si>
  <si>
    <t>HSS17</t>
  </si>
  <si>
    <t>Engage community leaders to foster HIV care advocacy.</t>
  </si>
  <si>
    <t>HSS18</t>
  </si>
  <si>
    <t>Develop a CQI framework for HIV care based on national standards.</t>
  </si>
  <si>
    <t>HSS19</t>
  </si>
  <si>
    <t>Conduct regular audits and improvement projects.</t>
  </si>
  <si>
    <t>HSS20</t>
  </si>
  <si>
    <t>HSS21</t>
  </si>
  <si>
    <t>Set specific indicators and targets for service improvement.</t>
  </si>
  <si>
    <t>HSS22</t>
  </si>
  <si>
    <t>Create QI teams in each facility to address local service delivery challenges.</t>
  </si>
  <si>
    <t>HSS23</t>
  </si>
  <si>
    <t>Conduct audits to ensure adherence to national standards.</t>
  </si>
  <si>
    <t>HSS24</t>
  </si>
  <si>
    <t>HSS25</t>
  </si>
  <si>
    <t>HSS26</t>
  </si>
  <si>
    <t>HSS27</t>
  </si>
  <si>
    <t>Conduct a comprehensive policy gap analysis to identify areas requiring</t>
  </si>
  <si>
    <t>HSS28</t>
  </si>
  <si>
    <t>Develop targeted communication strategies for key stakeholders.</t>
  </si>
  <si>
    <t>HSS29</t>
  </si>
  <si>
    <t>Ensure dissemination through multilingual resources.</t>
  </si>
  <si>
    <t>HSS30</t>
  </si>
  <si>
    <t>Conduct training sessions on the updated guidelines.</t>
  </si>
  <si>
    <t>HSS31</t>
  </si>
  <si>
    <t>Map and assess the current supply chain system.</t>
  </si>
  <si>
    <t>HSS32</t>
  </si>
  <si>
    <t>Train health workers in logistics and inventory management.</t>
  </si>
  <si>
    <t>HSS33</t>
  </si>
  <si>
    <t>Implement electronic tracking systems for commodities.</t>
  </si>
  <si>
    <t>HSS34</t>
  </si>
  <si>
    <t>Conduct a baseline assessment of M&amp;E capacity at different levels.</t>
  </si>
  <si>
    <t>HSS35</t>
  </si>
  <si>
    <t>Develop and implement M&amp;E training and mentorship programs.</t>
  </si>
  <si>
    <t>HSS36</t>
  </si>
  <si>
    <t>1. Develop Data Quality Tools</t>
  </si>
  <si>
    <t>HSS37</t>
  </si>
  <si>
    <t>2. Data Audits and Feedback</t>
  </si>
  <si>
    <t>HSS38</t>
  </si>
  <si>
    <r>
      <t>Regular Monitoring:</t>
    </r>
    <r>
      <rPr>
        <sz val="10"/>
        <color theme="1"/>
        <rFont val="Calibri Light"/>
        <family val="2"/>
      </rPr>
      <t xml:space="preserve"> Implement continuous tracking of progress and adherence to timelines for all activities.</t>
    </r>
  </si>
  <si>
    <t>HSS39</t>
  </si>
  <si>
    <r>
      <t>Quarterly Reviews:</t>
    </r>
    <r>
      <rPr>
        <sz val="10"/>
        <color theme="1"/>
        <rFont val="Calibri Light"/>
        <family val="2"/>
      </rPr>
      <t xml:space="preserve"> Conduct quarterly performance reviews to assess outcomes and adjust strategies as needed.</t>
    </r>
  </si>
  <si>
    <t>HSS40</t>
  </si>
  <si>
    <r>
      <t>Task:</t>
    </r>
    <r>
      <rPr>
        <sz val="10"/>
        <color theme="1"/>
        <rFont val="Calibri Light"/>
        <family val="2"/>
      </rPr>
      <t xml:space="preserve"> automate the Community Scorecard (CSC).
Target: pilot the CSC in both regions</t>
    </r>
  </si>
  <si>
    <t>HSS41</t>
  </si>
  <si>
    <r>
      <t>Task:</t>
    </r>
    <r>
      <rPr>
        <sz val="10"/>
        <color theme="1"/>
        <rFont val="Calibri Light"/>
        <family val="2"/>
      </rPr>
      <t xml:space="preserve"> Adapt the Women’s Global Fund scorecard to meet the specific needs and priorities of the Cameroon context and community.
Target: Develop a customizable scorecard based on community priorities in partnership with PLHIV networks.</t>
    </r>
  </si>
  <si>
    <t>HSS42</t>
  </si>
  <si>
    <t>Task: Conduct M&amp;E training for healthcare workers to ensure proper data collection, reporting, and use of the aligned systems.
 Target: Train M&amp;E personnel from both regions using interactive modules.</t>
  </si>
  <si>
    <t>HSS43</t>
  </si>
  <si>
    <r>
      <t>Task:</t>
    </r>
    <r>
      <rPr>
        <sz val="10"/>
        <color theme="1"/>
        <rFont val="Calibri Light"/>
        <family val="2"/>
      </rPr>
      <t xml:space="preserve"> Scale-up DAMA in all regions.
Target: 100% DAMA implementation in both regions</t>
    </r>
  </si>
  <si>
    <t>HSS44</t>
  </si>
  <si>
    <r>
      <rPr>
        <b/>
        <sz val="10"/>
        <color theme="1"/>
        <rFont val="Calibri Light"/>
        <family val="2"/>
      </rPr>
      <t>Task:</t>
    </r>
    <r>
      <rPr>
        <sz val="10"/>
        <color theme="1"/>
        <rFont val="Calibri Light"/>
        <family val="2"/>
      </rPr>
      <t xml:space="preserve"> Train healthcare staff on DAMA and EMR functionalities, particularly for commodity management.
Target: 50 healthcare workers trained across both regions.</t>
    </r>
  </si>
  <si>
    <t>HSS45</t>
  </si>
  <si>
    <r>
      <rPr>
        <b/>
        <sz val="10"/>
        <color theme="1"/>
        <rFont val="Calibri Light"/>
        <family val="2"/>
      </rPr>
      <t xml:space="preserve">Task: </t>
    </r>
    <r>
      <rPr>
        <sz val="10"/>
        <color theme="1"/>
        <rFont val="Calibri Light"/>
        <family val="2"/>
      </rPr>
      <t>Conduct a comprehensive needs assessment and map stakeholders for TB-HIV linkage.
Target: Identify key gaps and community needs within 3 months of project initiation.</t>
    </r>
  </si>
  <si>
    <t>HSS46</t>
  </si>
  <si>
    <r>
      <t>Task:</t>
    </r>
    <r>
      <rPr>
        <sz val="10"/>
        <color theme="1"/>
        <rFont val="Calibri Light"/>
        <family val="2"/>
      </rPr>
      <t xml:space="preserve"> Train and deploy CHWs to support TB-HIV linkage and retention.
Target: Deploy 100 trained CHWs to rural communities by Year1</t>
    </r>
  </si>
  <si>
    <t>HSS47</t>
  </si>
  <si>
    <r>
      <t>Task:</t>
    </r>
    <r>
      <rPr>
        <sz val="10"/>
        <color theme="1"/>
        <rFont val="Calibri Light"/>
        <family val="2"/>
      </rPr>
      <t xml:space="preserve"> Implement peer support programs and awareness campaigns to encourage treatment adherence.
Target: Reach 10,000 community members with TB-HIV education messages.</t>
    </r>
  </si>
  <si>
    <t>HSS48</t>
  </si>
  <si>
    <r>
      <t>Task:</t>
    </r>
    <r>
      <rPr>
        <sz val="10"/>
        <color theme="1"/>
        <rFont val="Calibri Light"/>
        <family val="2"/>
      </rPr>
      <t xml:space="preserve"> Conduct a needs assessment and develop tailored training for FBOs and CBOs on organizational management and HIV/TB service delivery.
Target: Train at least 10 local organizations by the end of Year 2.</t>
    </r>
  </si>
  <si>
    <t>HSS49</t>
  </si>
  <si>
    <r>
      <t>Task:</t>
    </r>
    <r>
      <rPr>
        <sz val="10"/>
        <color theme="1"/>
        <rFont val="Calibri Light"/>
        <family val="2"/>
      </rPr>
      <t xml:space="preserve"> Provide ongoing mentorship and financial management training to ensure FBOs and CBOs maintain sustainability.
Target: Establish mentorship programs for 4 organizations by Year 1, Q4.</t>
    </r>
  </si>
  <si>
    <t>HSS50</t>
  </si>
  <si>
    <t>Conduct training sessions for healthcare workers on IPC practices.</t>
  </si>
  <si>
    <t>PHT01</t>
  </si>
  <si>
    <t>Develop and distribute IPC educational materials (in French, English, and local languages).</t>
  </si>
  <si>
    <t>PHT02</t>
  </si>
  <si>
    <t>Assess and upgrade hand hygiene stations, waste disposal systems, and isolation areas.</t>
  </si>
  <si>
    <t>PHT03</t>
  </si>
  <si>
    <t>Ensure the availability of personal protective equipment (PPE) and promote proper use.</t>
  </si>
  <si>
    <t>PHT04</t>
  </si>
  <si>
    <t>Establish a routine monitoring system for IPC compliance.</t>
  </si>
  <si>
    <t>PHT05</t>
  </si>
  <si>
    <t>Support regular audits and provide feedback to staff for improvement.</t>
  </si>
  <si>
    <t>PHT06</t>
  </si>
  <si>
    <t>Conduct awareness campaigns on infection prevention.</t>
  </si>
  <si>
    <t>PHT07</t>
  </si>
  <si>
    <t>Foster community participation in waste management.</t>
  </si>
  <si>
    <t>PHT08</t>
  </si>
  <si>
    <t>Form task forces at each facility for IPC oversight.</t>
  </si>
  <si>
    <t>PHT09</t>
  </si>
  <si>
    <t>Integrate IPC data into health information systems for reporting.</t>
  </si>
  <si>
    <t>PHT10</t>
  </si>
  <si>
    <t>Develop a response plan for outbreaks and conduct simulation exercises.</t>
  </si>
  <si>
    <t>PHT11</t>
  </si>
  <si>
    <t>Implement CQI to regularly review and adapt IPC strategies.</t>
  </si>
  <si>
    <t>PHT12</t>
  </si>
  <si>
    <t>Conduct specialized TB-IPC training sessions for healthcare workers.</t>
  </si>
  <si>
    <t>PHT13</t>
  </si>
  <si>
    <t>Integrate TB-IPC into healthcare professional training curricula.</t>
  </si>
  <si>
    <t>PHT14</t>
  </si>
  <si>
    <t>Implement routine TB screening for healthcare workers.</t>
  </si>
  <si>
    <t>PHT15</t>
  </si>
  <si>
    <t>Establish early detection systems for TB patients.</t>
  </si>
  <si>
    <t>PHT16</t>
  </si>
  <si>
    <t>Develop educational materials on TB transmission and prevention.</t>
  </si>
  <si>
    <t>PHT17</t>
  </si>
  <si>
    <t>Facilitate TB awareness campaigns in healthcare facilities.</t>
  </si>
  <si>
    <t>PHT18</t>
  </si>
  <si>
    <t>Upgrade facilities to provide well-ventilated waiting areas and negative pressure rooms.</t>
  </si>
  <si>
    <t>PHT19</t>
  </si>
  <si>
    <t>Provide and train healthcare workers on appropriate respiratory protection.</t>
  </si>
  <si>
    <t>PHT20</t>
  </si>
  <si>
    <t>Implement contact investigations and follow-up screenings for exposed workers.</t>
  </si>
  <si>
    <t>PHT21</t>
  </si>
  <si>
    <t>Integrate TB-IPC metrics into routine healthcare monitoring and conduct audits.</t>
  </si>
  <si>
    <t>PHT22</t>
  </si>
  <si>
    <t>Align with the National TB Program’s guidelines and establish a facility-level TB-IPC task force.</t>
  </si>
  <si>
    <t>PHT23</t>
  </si>
  <si>
    <t>Assess biosafety and waste management practices at all facilities.</t>
  </si>
  <si>
    <t>PHT24</t>
  </si>
  <si>
    <t>Develop and tailor SOPs for biosafety, biosecurity, and waste management.</t>
  </si>
  <si>
    <t>PHT25</t>
  </si>
  <si>
    <t>Conduct regular training on biosafety and waste management protocols.</t>
  </si>
  <si>
    <t>PHT26</t>
  </si>
  <si>
    <t>Procure PPE, sharps containers, and disinfectants.</t>
  </si>
  <si>
    <t>PHT27</t>
  </si>
  <si>
    <t>Set up color-coded waste management bins for proper segregation.</t>
  </si>
  <si>
    <t>PHT28</t>
  </si>
  <si>
    <t>Implement routine audits to assess compliance with biosafety protocols.</t>
  </si>
  <si>
    <t>PHT29</t>
  </si>
  <si>
    <t>Raise community awareness about waste disposal and biosafety.</t>
  </si>
  <si>
    <t>PHT30</t>
  </si>
  <si>
    <t>Regularly review and update SOPs based on feedback and best practices.</t>
  </si>
  <si>
    <t>PHT31</t>
  </si>
  <si>
    <t>Conduct assessments of injection safety practices and identify areas for improvement.</t>
  </si>
  <si>
    <t>PHT32</t>
  </si>
  <si>
    <t>Collaborate with MOH to revise or develop injection safety protocols.</t>
  </si>
  <si>
    <t>PHT33</t>
  </si>
  <si>
    <t>Train healthcare workers on safe injection practices, including proper handling of sharps.</t>
  </si>
  <si>
    <t>PHT34</t>
  </si>
  <si>
    <t>Set up secure systems for sharps disposal and train staff on use and disposal techniques.</t>
  </si>
  <si>
    <t>PHT35</t>
  </si>
  <si>
    <t>Conduct unannounced inspections to assess compliance with safety protocols.</t>
  </si>
  <si>
    <t>PHT36</t>
  </si>
  <si>
    <t>Educate the public on safe injection practices and the risks of unsafe injections.</t>
  </si>
  <si>
    <t>PHT37</t>
  </si>
  <si>
    <t>Review and update injection safety protocols based on emerging best practices.</t>
  </si>
  <si>
    <t>PHT38</t>
  </si>
  <si>
    <t>Develop a monitoring framework for tracking the implementation of IPC, TB-IPC, biosafety, and injection safety measures.</t>
  </si>
  <si>
    <t>PHT39</t>
  </si>
  <si>
    <t>Conduct monthly and quarterly reviews to assess progress and identify areas for improvement.</t>
  </si>
  <si>
    <t>PHT40</t>
  </si>
  <si>
    <t>Provide regular reports to stakeholders, including MOH, donors, and facility management teams.</t>
  </si>
  <si>
    <t>PHT41</t>
  </si>
  <si>
    <t>KPs01</t>
  </si>
  <si>
    <t>KPs02</t>
  </si>
  <si>
    <t>KPs03</t>
  </si>
  <si>
    <t>KPs04</t>
  </si>
  <si>
    <t>KPs05</t>
  </si>
  <si>
    <t>KPs06</t>
  </si>
  <si>
    <t>KPs07</t>
  </si>
  <si>
    <t>KPs08</t>
  </si>
  <si>
    <t>KPs09</t>
  </si>
  <si>
    <t>KPs10</t>
  </si>
  <si>
    <t>KPs11</t>
  </si>
  <si>
    <t>KPs12</t>
  </si>
  <si>
    <t>KPs13</t>
  </si>
  <si>
    <t>KPs14</t>
  </si>
  <si>
    <t>KPs15</t>
  </si>
  <si>
    <t>KPs16</t>
  </si>
  <si>
    <t>KPs17</t>
  </si>
  <si>
    <t>KPs18</t>
  </si>
  <si>
    <t>KPs19</t>
  </si>
  <si>
    <t>KPs20</t>
  </si>
  <si>
    <t>KPs21</t>
  </si>
  <si>
    <t>KPs22</t>
  </si>
  <si>
    <t>KPs23</t>
  </si>
  <si>
    <t>KPs24</t>
  </si>
  <si>
    <t>KPs25</t>
  </si>
  <si>
    <t>KPs26</t>
  </si>
  <si>
    <t>KPs27</t>
  </si>
  <si>
    <t>KPs28</t>
  </si>
  <si>
    <t>KPs29</t>
  </si>
  <si>
    <t>KPs30</t>
  </si>
  <si>
    <t>KPs31</t>
  </si>
  <si>
    <t>KPs32</t>
  </si>
  <si>
    <t>KPs33</t>
  </si>
  <si>
    <t>KPs34</t>
  </si>
  <si>
    <t>KPs35</t>
  </si>
  <si>
    <t>KPs36</t>
  </si>
  <si>
    <t>KPs37</t>
  </si>
  <si>
    <t>KPs38</t>
  </si>
  <si>
    <t>KPs39</t>
  </si>
  <si>
    <t>KPs40</t>
  </si>
  <si>
    <t>PPs01</t>
  </si>
  <si>
    <t>PPs02</t>
  </si>
  <si>
    <t>PPs03</t>
  </si>
  <si>
    <t>PPs04</t>
  </si>
  <si>
    <t>PPs05</t>
  </si>
  <si>
    <t>PPs06</t>
  </si>
  <si>
    <t>PPs07</t>
  </si>
  <si>
    <t>PPs08</t>
  </si>
  <si>
    <t>PPs09</t>
  </si>
  <si>
    <t>PPs10</t>
  </si>
  <si>
    <t>PPs11</t>
  </si>
  <si>
    <t>PPs12</t>
  </si>
  <si>
    <t>C&amp;T01</t>
  </si>
  <si>
    <t>C&amp;T02</t>
  </si>
  <si>
    <t>C&amp;T03</t>
  </si>
  <si>
    <t>C&amp;T04</t>
  </si>
  <si>
    <t>C&amp;T05</t>
  </si>
  <si>
    <t>C&amp;T06</t>
  </si>
  <si>
    <t>C&amp;T07</t>
  </si>
  <si>
    <t>C&amp;T08</t>
  </si>
  <si>
    <t>C&amp;T09</t>
  </si>
  <si>
    <t>C&amp;T10</t>
  </si>
  <si>
    <t>C&amp;T11</t>
  </si>
  <si>
    <t>C&amp;T12</t>
  </si>
  <si>
    <t>C&amp;T13</t>
  </si>
  <si>
    <t>C&amp;T14</t>
  </si>
  <si>
    <t>C&amp;T15</t>
  </si>
  <si>
    <t>C&amp;T16</t>
  </si>
  <si>
    <t>C&amp;T17</t>
  </si>
  <si>
    <t>C&amp;T18</t>
  </si>
  <si>
    <t>C&amp;T19</t>
  </si>
  <si>
    <t>C&amp;T20</t>
  </si>
  <si>
    <t>C&amp;T21</t>
  </si>
  <si>
    <t>C&amp;T22</t>
  </si>
  <si>
    <t>C&amp;T23</t>
  </si>
  <si>
    <t>C&amp;T24</t>
  </si>
  <si>
    <t>C&amp;T25</t>
  </si>
  <si>
    <t>C&amp;T26</t>
  </si>
  <si>
    <t>C&amp;T27</t>
  </si>
  <si>
    <t>C&amp;T28</t>
  </si>
  <si>
    <t>C&amp;T29</t>
  </si>
  <si>
    <t>C&amp;T30</t>
  </si>
  <si>
    <t>C&amp;T31</t>
  </si>
  <si>
    <t>C&amp;T32</t>
  </si>
  <si>
    <t>C&amp;T33</t>
  </si>
  <si>
    <t>C&amp;T34</t>
  </si>
  <si>
    <t>C&amp;T35</t>
  </si>
  <si>
    <t>C&amp;T36</t>
  </si>
  <si>
    <t>C&amp;T37</t>
  </si>
  <si>
    <t>C&amp;T38</t>
  </si>
  <si>
    <t>C&amp;T39</t>
  </si>
  <si>
    <t>C&amp;T40</t>
  </si>
  <si>
    <t>C&amp;T41</t>
  </si>
  <si>
    <t>C&amp;T42</t>
  </si>
  <si>
    <t>C&amp;T43</t>
  </si>
  <si>
    <t>C&amp;T44</t>
  </si>
  <si>
    <t>C&amp;T45</t>
  </si>
  <si>
    <t>C&amp;T46</t>
  </si>
  <si>
    <t>C&amp;T47</t>
  </si>
  <si>
    <t>C&amp;T48</t>
  </si>
  <si>
    <t>C&amp;T49</t>
  </si>
  <si>
    <t>C&amp;T50</t>
  </si>
  <si>
    <t>C&amp;T51</t>
  </si>
  <si>
    <t>C&amp;T52</t>
  </si>
  <si>
    <t>C&amp;T53</t>
  </si>
  <si>
    <t>C&amp;T54</t>
  </si>
  <si>
    <t>C&amp;T55</t>
  </si>
  <si>
    <t>C&amp;T56</t>
  </si>
  <si>
    <t>C&amp;T57</t>
  </si>
  <si>
    <t>C&amp;T58</t>
  </si>
  <si>
    <t>C&amp;T59</t>
  </si>
  <si>
    <t>C&amp;T60</t>
  </si>
  <si>
    <t>C&amp;T61</t>
  </si>
  <si>
    <t>C&amp;T62</t>
  </si>
  <si>
    <t>C&amp;T63</t>
  </si>
  <si>
    <t>C&amp;T64</t>
  </si>
  <si>
    <t>C&amp;T65</t>
  </si>
  <si>
    <t>C&amp;T66</t>
  </si>
  <si>
    <t>C&amp;T67</t>
  </si>
  <si>
    <t>C&amp;T68</t>
  </si>
  <si>
    <t>C&amp;T69</t>
  </si>
  <si>
    <t>C&amp;T70</t>
  </si>
  <si>
    <t>C&amp;T71</t>
  </si>
  <si>
    <t>C&amp;T72</t>
  </si>
  <si>
    <t>C&amp;T73</t>
  </si>
  <si>
    <t>C&amp;T74</t>
  </si>
  <si>
    <t>C&amp;T75</t>
  </si>
  <si>
    <t>C&amp;T76</t>
  </si>
  <si>
    <t>C&amp;T77</t>
  </si>
  <si>
    <t>C&amp;T78</t>
  </si>
  <si>
    <t>C&amp;T79</t>
  </si>
  <si>
    <t>C&amp;T80</t>
  </si>
  <si>
    <t>C&amp;T81</t>
  </si>
  <si>
    <t>C&amp;T82</t>
  </si>
  <si>
    <t>C&amp;T83</t>
  </si>
  <si>
    <t>C&amp;T84</t>
  </si>
  <si>
    <t>C&amp;T85</t>
  </si>
  <si>
    <t>C&amp;T86</t>
  </si>
  <si>
    <t>PMTCT01</t>
  </si>
  <si>
    <t>PMTCT02</t>
  </si>
  <si>
    <t>PMTCT03</t>
  </si>
  <si>
    <t>PMTCT04</t>
  </si>
  <si>
    <t>PMTCT05</t>
  </si>
  <si>
    <t>PMTCT06</t>
  </si>
  <si>
    <t>PMTCT07</t>
  </si>
  <si>
    <t>PMTCT08</t>
  </si>
  <si>
    <t>PMTCT09</t>
  </si>
  <si>
    <t>PMTCT10</t>
  </si>
  <si>
    <t>PMTCT11</t>
  </si>
  <si>
    <t>PMTCT12</t>
  </si>
  <si>
    <t>PMTCT13</t>
  </si>
  <si>
    <t>PMTCT14</t>
  </si>
  <si>
    <t>PMTCT15</t>
  </si>
  <si>
    <t>PMTCT16</t>
  </si>
  <si>
    <t>PMTCT17</t>
  </si>
  <si>
    <t>PMTCT18</t>
  </si>
  <si>
    <t>PMTCT19</t>
  </si>
  <si>
    <t>PMTCT20</t>
  </si>
  <si>
    <t>PMTCT21</t>
  </si>
  <si>
    <t>PMTCT22</t>
  </si>
  <si>
    <t>PMTCT23</t>
  </si>
  <si>
    <t>PMTCT24</t>
  </si>
  <si>
    <t>PMTCT25</t>
  </si>
  <si>
    <t>PMTCT26</t>
  </si>
  <si>
    <t>PMTCT27</t>
  </si>
  <si>
    <t>PMTCT28</t>
  </si>
  <si>
    <t>PMTCT29</t>
  </si>
  <si>
    <t>PMTCT30</t>
  </si>
  <si>
    <t>PMTCT31</t>
  </si>
  <si>
    <t>PMTCT32</t>
  </si>
  <si>
    <t>PMTCT33</t>
  </si>
  <si>
    <t>PMTCT34</t>
  </si>
  <si>
    <t>PMTCT35</t>
  </si>
  <si>
    <t>PMTCT36</t>
  </si>
  <si>
    <t>PMTCT37</t>
  </si>
  <si>
    <t>PMTCT38</t>
  </si>
  <si>
    <t>PMTCT39</t>
  </si>
  <si>
    <t>PMTCT40</t>
  </si>
  <si>
    <t>PMTCT41</t>
  </si>
  <si>
    <t>PMTCT42</t>
  </si>
  <si>
    <t>PMTCT43</t>
  </si>
  <si>
    <t>PMTCT44</t>
  </si>
  <si>
    <t>PMTCT45</t>
  </si>
  <si>
    <t>PMTCT46</t>
  </si>
  <si>
    <t>PMTCT47</t>
  </si>
  <si>
    <t>PMTCT48</t>
  </si>
  <si>
    <t>PMTCT49</t>
  </si>
  <si>
    <t>PMTCT50</t>
  </si>
  <si>
    <t>PMTCT51</t>
  </si>
  <si>
    <t>PMTCT52</t>
  </si>
  <si>
    <t>PMTCT53</t>
  </si>
  <si>
    <t>PMTCT54</t>
  </si>
  <si>
    <t>PMTCT55</t>
  </si>
  <si>
    <t>PMTCT56</t>
  </si>
  <si>
    <t>PMTCT57</t>
  </si>
  <si>
    <t>PMTCT58</t>
  </si>
  <si>
    <t>PMTCT59</t>
  </si>
  <si>
    <t>PMTCT60</t>
  </si>
  <si>
    <t>PMTCT61</t>
  </si>
  <si>
    <t>PMTCT62</t>
  </si>
  <si>
    <t>PBFW01</t>
  </si>
  <si>
    <t>PBFW02</t>
  </si>
  <si>
    <t>PBFW03</t>
  </si>
  <si>
    <t>PBFW04</t>
  </si>
  <si>
    <t>PBFW05</t>
  </si>
  <si>
    <t>PBFW06</t>
  </si>
  <si>
    <t>PBFW07</t>
  </si>
  <si>
    <t>PBFW08</t>
  </si>
  <si>
    <t>OTZ01</t>
  </si>
  <si>
    <t>OTZ02</t>
  </si>
  <si>
    <t>OTZ03</t>
  </si>
  <si>
    <t>OTZ04</t>
  </si>
  <si>
    <t>OTZ05</t>
  </si>
  <si>
    <t>OTZ06</t>
  </si>
  <si>
    <t>OTZ07</t>
  </si>
  <si>
    <t>OTZ08</t>
  </si>
  <si>
    <t>OTZ09</t>
  </si>
  <si>
    <t>OTZ10</t>
  </si>
  <si>
    <t>OTZ11</t>
  </si>
  <si>
    <t>PBFW09</t>
  </si>
  <si>
    <t>PBFW10</t>
  </si>
  <si>
    <t>PBFW11</t>
  </si>
  <si>
    <t>PBFW12</t>
  </si>
  <si>
    <t>PBFW13</t>
  </si>
  <si>
    <t>PEDCT</t>
  </si>
  <si>
    <t>PEDCT01</t>
  </si>
  <si>
    <t>PEDCT02</t>
  </si>
  <si>
    <t>PEDCT03</t>
  </si>
  <si>
    <t>PEDCT04</t>
  </si>
  <si>
    <t>train multidisciplanary team of 5 HCWs ( district TA team) per district   in non PEPFAR supported sites</t>
  </si>
  <si>
    <t>PEDCT05</t>
  </si>
  <si>
    <t>PEDCT06</t>
  </si>
  <si>
    <t>PEDCT07</t>
  </si>
  <si>
    <t>PEDCT08</t>
  </si>
  <si>
    <t>PEDCT09</t>
  </si>
  <si>
    <t>PEDCT10</t>
  </si>
  <si>
    <t>PEDCT11</t>
  </si>
  <si>
    <t>PEDCT12</t>
  </si>
  <si>
    <t>PEDCT13</t>
  </si>
  <si>
    <t>PEDCT14</t>
  </si>
  <si>
    <t>PEDCT15</t>
  </si>
  <si>
    <t>PEDCT16</t>
  </si>
  <si>
    <t>PEDCT17</t>
  </si>
  <si>
    <t>PEDCT18</t>
  </si>
  <si>
    <t>PEDCT19</t>
  </si>
  <si>
    <t>PEDCT20</t>
  </si>
  <si>
    <t>PEDCT21</t>
  </si>
  <si>
    <t>PEDCT22</t>
  </si>
  <si>
    <t>PEDCT23</t>
  </si>
  <si>
    <t>PEDCT24</t>
  </si>
  <si>
    <t>PEDCT25</t>
  </si>
  <si>
    <t>PEDCT26</t>
  </si>
  <si>
    <t>PEDCT27</t>
  </si>
  <si>
    <t>PEDCT28</t>
  </si>
  <si>
    <t>PEDCT29</t>
  </si>
  <si>
    <t>PEDCT30</t>
  </si>
  <si>
    <t>PEDCT31</t>
  </si>
  <si>
    <t>PEDCT32</t>
  </si>
  <si>
    <t>Track all HEI without final outcome at 18-24 months by M2M and CHWs for testing</t>
  </si>
  <si>
    <t>PEDCT33</t>
  </si>
  <si>
    <t>PEDCT34</t>
  </si>
  <si>
    <t>PEDCT35</t>
  </si>
  <si>
    <t>PEDCT36</t>
  </si>
  <si>
    <t>PEDCT37</t>
  </si>
  <si>
    <t>PEDCT38</t>
  </si>
  <si>
    <t>PEDCT39</t>
  </si>
  <si>
    <t>PEDCT40</t>
  </si>
  <si>
    <t>FECH01</t>
  </si>
  <si>
    <t>FECH02</t>
  </si>
  <si>
    <t>FECH03</t>
  </si>
  <si>
    <t>FECH04</t>
  </si>
  <si>
    <t>FECH05</t>
  </si>
  <si>
    <t>FECH06</t>
  </si>
  <si>
    <t>FECH07</t>
  </si>
  <si>
    <t>FECH08</t>
  </si>
  <si>
    <t>FECH09</t>
  </si>
  <si>
    <t>FECH10</t>
  </si>
  <si>
    <t>FECH11</t>
  </si>
  <si>
    <t>FECH12</t>
  </si>
  <si>
    <t>FECH13</t>
  </si>
  <si>
    <t>PEDCT41</t>
  </si>
  <si>
    <t>PEDCT42</t>
  </si>
  <si>
    <t>PEDCT43</t>
  </si>
  <si>
    <t>PEDCT44</t>
  </si>
  <si>
    <t>PEDCT45</t>
  </si>
  <si>
    <t>PEDCT46</t>
  </si>
  <si>
    <t>PEDCT47</t>
  </si>
  <si>
    <t>PEDCT48</t>
  </si>
  <si>
    <t>PEDCT49</t>
  </si>
  <si>
    <t>PEDCT50</t>
  </si>
  <si>
    <t>PEDCT51</t>
  </si>
  <si>
    <t>PEDCT52</t>
  </si>
  <si>
    <t>PEDCT53</t>
  </si>
  <si>
    <t>PEDCT54</t>
  </si>
  <si>
    <t>PEDCT55</t>
  </si>
  <si>
    <t>PEDCT56</t>
  </si>
  <si>
    <t>PEDCT57</t>
  </si>
  <si>
    <t>PEDCT58</t>
  </si>
  <si>
    <t>Print therapeutic tools like education forms, image boxes, etc., for active linkage of clients; especially ( children, adolescents, AGYW, ABYM )</t>
  </si>
  <si>
    <t>PEDCT59</t>
  </si>
  <si>
    <t>Formalize extended hours services and weekend services for ART Initiation with hospital administrations</t>
  </si>
  <si>
    <t>PEDCT60</t>
  </si>
  <si>
    <t>PEDCT61</t>
  </si>
  <si>
    <t>PEDCT62</t>
  </si>
  <si>
    <t>PEDCT63</t>
  </si>
  <si>
    <t>PEDCT64</t>
  </si>
  <si>
    <t>PEDCT65</t>
  </si>
  <si>
    <t>PEDCT66</t>
  </si>
  <si>
    <t>PEDCT67</t>
  </si>
  <si>
    <t>PEDCT68</t>
  </si>
  <si>
    <t>PEDCT69</t>
  </si>
  <si>
    <t>PEDCT70</t>
  </si>
  <si>
    <t>PEDCT71</t>
  </si>
  <si>
    <t>PEDCT72</t>
  </si>
  <si>
    <t>PEDCT73</t>
  </si>
  <si>
    <t>PEDCT74</t>
  </si>
  <si>
    <t>PEDCT75</t>
  </si>
  <si>
    <t>PEDCT76</t>
  </si>
  <si>
    <t>PEDCT77</t>
  </si>
  <si>
    <t>PEDCT78</t>
  </si>
  <si>
    <t>PEDCT79</t>
  </si>
  <si>
    <t>PEDCT80</t>
  </si>
  <si>
    <t>PEDCT81</t>
  </si>
  <si>
    <t>OVCs01</t>
  </si>
  <si>
    <t>OVCs02</t>
  </si>
  <si>
    <t>OVCs03</t>
  </si>
  <si>
    <t>OVCs04</t>
  </si>
  <si>
    <t>OVCs05</t>
  </si>
  <si>
    <t>OVCs06</t>
  </si>
  <si>
    <t>OVCs07</t>
  </si>
  <si>
    <t>OTZ12</t>
  </si>
  <si>
    <t>OTZ13</t>
  </si>
  <si>
    <t>OTZ14</t>
  </si>
  <si>
    <t>OTZ15</t>
  </si>
  <si>
    <t>OTZ16</t>
  </si>
  <si>
    <t>OTZ17</t>
  </si>
  <si>
    <t>OTZ18</t>
  </si>
  <si>
    <t>OTZ19</t>
  </si>
  <si>
    <t>OTZ20</t>
  </si>
  <si>
    <t>OTZ21</t>
  </si>
  <si>
    <t>OTZ22</t>
  </si>
  <si>
    <t>OTZ23</t>
  </si>
  <si>
    <t>OTZ24</t>
  </si>
  <si>
    <t>OTZ25</t>
  </si>
  <si>
    <t>OTZ26</t>
  </si>
  <si>
    <t>OTZ27</t>
  </si>
  <si>
    <t>OTZ28</t>
  </si>
  <si>
    <t>OTZ29</t>
  </si>
  <si>
    <t>OTZ30</t>
  </si>
  <si>
    <t>OTZ31</t>
  </si>
  <si>
    <t>GBV01</t>
  </si>
  <si>
    <t>GBV02</t>
  </si>
  <si>
    <t>Collaborate with community based Adolescent and youth associations ( RECAJ+)  to facilitate AGYW clubs</t>
  </si>
  <si>
    <t>GBV03</t>
  </si>
  <si>
    <t>Create adolescent clubs using standard curriculum in PTCEs</t>
  </si>
  <si>
    <t>GBV04</t>
  </si>
  <si>
    <t>GBV05</t>
  </si>
  <si>
    <t>GBV06</t>
  </si>
  <si>
    <t>GBV07</t>
  </si>
  <si>
    <t>GBV08</t>
  </si>
  <si>
    <t>Support routine GBV screening during hospital visits, first line support as needed and referral to clinical and non-clinical services</t>
  </si>
  <si>
    <t>GBV09</t>
  </si>
  <si>
    <t>GBV10</t>
  </si>
  <si>
    <t>GBV11</t>
  </si>
  <si>
    <t>GBV12</t>
  </si>
  <si>
    <t>GBV13</t>
  </si>
  <si>
    <t>GBV14</t>
  </si>
  <si>
    <t>GBV15</t>
  </si>
  <si>
    <t>GBV16</t>
  </si>
  <si>
    <t>GBV17</t>
  </si>
  <si>
    <t>PEDCT82</t>
  </si>
  <si>
    <t>PEDCT83</t>
  </si>
  <si>
    <t>HPVVAC</t>
  </si>
  <si>
    <t>HPVVAC01</t>
  </si>
  <si>
    <t>HPVVAC02</t>
  </si>
  <si>
    <t>HPVVAC03</t>
  </si>
  <si>
    <t>HPVVAC04</t>
  </si>
  <si>
    <t>HPVVAC05</t>
  </si>
  <si>
    <t>HPVVAC06</t>
  </si>
  <si>
    <t>HPVVAC07</t>
  </si>
  <si>
    <t>HPVVAC08</t>
  </si>
  <si>
    <t>HPVVAC09</t>
  </si>
  <si>
    <t>HPVVAC10</t>
  </si>
  <si>
    <t>HPVVAC11</t>
  </si>
  <si>
    <t>HPVVAC12</t>
  </si>
  <si>
    <t>HPVVAC13</t>
  </si>
  <si>
    <t>ALHIV01</t>
  </si>
  <si>
    <t>ALHIV02</t>
  </si>
  <si>
    <t>ALHIV03</t>
  </si>
  <si>
    <t>YC&amp;T01</t>
  </si>
  <si>
    <t>YC&amp;T02</t>
  </si>
  <si>
    <t>YC&amp;T03</t>
  </si>
  <si>
    <t>Engage youth-based CSOs during regional performance review meeting/microplanning meetings etc and take into accounts their contributions to improve HIV Programing for Youths and young adults</t>
  </si>
  <si>
    <t>YC&amp;T04</t>
  </si>
  <si>
    <t>\</t>
  </si>
  <si>
    <t>SUB TOTAL Strategy 3</t>
  </si>
  <si>
    <t>SUB TOTAL Strategy 4</t>
  </si>
  <si>
    <t>Program domain</t>
  </si>
  <si>
    <t>Priority area</t>
  </si>
  <si>
    <t>ATTACH RELEVANT BACKUP, E.G. ACTIVITY ADVANCE BUDGET, INVOICE, QUOTATION, RECEIPTS, APPROVALS, ETC.</t>
  </si>
  <si>
    <t>Mode of Payment</t>
  </si>
  <si>
    <t>CASH</t>
  </si>
  <si>
    <t>CHECK</t>
  </si>
  <si>
    <t>TRANSFER</t>
  </si>
  <si>
    <t>Date Requested</t>
  </si>
  <si>
    <t>Activity code as per Work Plan</t>
  </si>
  <si>
    <t>To continue the accelerated phase of retention activities in 23 sites in the Centre and 11 sites in the East region</t>
  </si>
  <si>
    <t>E1.3.4</t>
  </si>
  <si>
    <t>Amount</t>
  </si>
  <si>
    <t>E1.4.6</t>
  </si>
  <si>
    <t xml:space="preserve">Support APSs with transport fare for Home dispensation for clients in facilities and dispensation points who can't make it to facility. </t>
  </si>
  <si>
    <t>G1.1.9</t>
  </si>
  <si>
    <t>J1.5.13</t>
  </si>
  <si>
    <t>Ensure the tracking of  all exposed children eligible for PCR (HF and community)</t>
  </si>
  <si>
    <t>G1.7</t>
  </si>
  <si>
    <t>Track all HEI without final outcome at 18 months by M2M and CHWs for testing</t>
  </si>
  <si>
    <t>Total</t>
  </si>
  <si>
    <t>Amount Requested (XAF)</t>
  </si>
  <si>
    <t>Amount in Words</t>
  </si>
  <si>
    <t>one million one hundred and ninety thousand francs</t>
  </si>
  <si>
    <t>Approved by</t>
  </si>
  <si>
    <t>APPROVAL FROM GU CD</t>
  </si>
  <si>
    <t xml:space="preserve">Finance Verified </t>
  </si>
  <si>
    <t>(Activity Manager)</t>
  </si>
  <si>
    <t>Supervisor</t>
  </si>
  <si>
    <t xml:space="preserve">Nom: </t>
  </si>
  <si>
    <t>Name:</t>
  </si>
  <si>
    <r>
      <t xml:space="preserve">Name: </t>
    </r>
    <r>
      <rPr>
        <b/>
        <sz val="12"/>
        <rFont val="Calibri"/>
        <family val="2"/>
      </rPr>
      <t>Dr FON KANDEL TEBONG</t>
    </r>
  </si>
  <si>
    <t xml:space="preserve">Date : </t>
  </si>
  <si>
    <t xml:space="preserve">Signature: </t>
  </si>
  <si>
    <t>AKNOWLEDGMENT OF FUNDS RECEIVED</t>
  </si>
  <si>
    <t>TOTAL in figures (1) :</t>
  </si>
  <si>
    <t xml:space="preserve">DATE: </t>
  </si>
  <si>
    <t xml:space="preserve">TOTAL in words (2) : </t>
  </si>
  <si>
    <t xml:space="preserve">Purpose (3) :  </t>
  </si>
  <si>
    <t xml:space="preserve">Received by: </t>
  </si>
  <si>
    <t>ID Card/Passport # (5):</t>
  </si>
  <si>
    <t xml:space="preserve">SIGNATURE : </t>
  </si>
  <si>
    <t>(1) Write the amount in words and the currency</t>
  </si>
  <si>
    <t>(2) Write the amount in figures and currency</t>
  </si>
  <si>
    <t>(3) Brief description of the goods or services to be paid</t>
  </si>
  <si>
    <t>(4) Write the identity / passport card of the beneficiary</t>
  </si>
  <si>
    <t>K2: Expand maternal and Child longitudinal Cohort Monitoring: Improve tracking and retention of both HIV positive mothers and HIV-exposed infants through longitudinal monitoring of the mothers - infants pair to ensure they receive uninterrupted care during pregnancy and breastfeeding till final outcome</t>
  </si>
  <si>
    <t>Strategy 2: Strengthen &amp; provide support using QA and QI methodologies to optimize service delivery, inventory management, and M&amp;E to ensure continuity of evidence-based client-centered care</t>
  </si>
  <si>
    <t>Strategy 3: Develop innovative, complementary, and sustainable health system strengthening initiatives with MOH to align with international guidelines, best practices to ensure quality, well-documented, services and systems at all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</si>
</sst>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_-&quot;$&quot;* #,##0.00_-;\-&quot;$&quot;* #,##0.00_-;_-&quot;$&quot;* &quot;-&quot;??_-;_-@_-"/>
    <numFmt numFmtId="168" formatCode="[$-409]mmmm\ d\,\ yyyy;@"/>
    <numFmt numFmtId="169" formatCode="_([$XAF]\ * #,##0.00_);_([$XAF]\ * \(#,##0.00\);_([$XAF]\ * &quot;-&quot;??_);_(@_)"/>
    <numFmt numFmtId="170" formatCode="_-* #,##0.00\ &quot;€&quot;_-;\-* #,##0.00\ &quot;€&quot;_-;_-* &quot;-&quot;??\ &quot;€&quot;_-;_-@_-"/>
    <numFmt numFmtId="171" formatCode="_-[$$-409]* #,##0.00_ ;_-[$$-409]* \-#,##0.00\ ;_-[$$-409]* &quot;-&quot;??_ ;_-@_ "/>
    <numFmt numFmtId="172" formatCode="_([$XAF]\ * #,##0_);_([$XAF]\ * \(#,##0\);_([$XAF]\ * &quot;-&quot;??_);_(@_)"/>
    <numFmt numFmtId="173" formatCode="[$-409]d\-mmm\-yy"/>
    <numFmt numFmtId="174" formatCode="_-* #,##0.00_-;\-* #,##0.00_-;_-* &quot;-&quot;??_-;_-@"/>
  </numFmts>
  <fonts count="69" x14ac:knownFonts="1">
    <font>
      <sz val="11"/>
      <color theme="1"/>
      <name val="Calibri"/>
      <family val="2"/>
      <scheme val="minor"/>
    </font>
    <font>
      <sz val="11"/>
      <color theme="1"/>
      <name val="Calibri"/>
      <family val="2"/>
      <scheme val="minor"/>
    </font>
    <font>
      <b/>
      <sz val="10"/>
      <name val="Arial"/>
      <family val="2"/>
    </font>
    <font>
      <b/>
      <sz val="10"/>
      <name val="Verdana"/>
      <family val="2"/>
    </font>
    <font>
      <sz val="10"/>
      <name val="Arial"/>
      <family val="2"/>
    </font>
    <font>
      <b/>
      <sz val="11"/>
      <name val="Arial"/>
      <family val="2"/>
    </font>
    <font>
      <sz val="10"/>
      <name val="Arial"/>
      <family val="2"/>
    </font>
    <font>
      <sz val="11"/>
      <color indexed="8"/>
      <name val="Calibri"/>
      <family val="2"/>
    </font>
    <font>
      <sz val="12"/>
      <color theme="1"/>
      <name val="Arial"/>
      <family val="2"/>
    </font>
    <font>
      <sz val="8"/>
      <color theme="1"/>
      <name val="Arial"/>
      <family val="2"/>
    </font>
    <font>
      <sz val="10"/>
      <color indexed="10"/>
      <name val="Arial"/>
      <family val="2"/>
    </font>
    <font>
      <sz val="11"/>
      <name val="Calibri"/>
      <family val="2"/>
      <scheme val="minor"/>
    </font>
    <font>
      <sz val="12"/>
      <color theme="1"/>
      <name val="Calibri"/>
      <family val="2"/>
      <scheme val="minor"/>
    </font>
    <font>
      <sz val="11"/>
      <color theme="1"/>
      <name val="Arial"/>
      <family val="2"/>
    </font>
    <font>
      <sz val="11"/>
      <name val="Calibri"/>
      <family val="2"/>
    </font>
    <font>
      <b/>
      <sz val="11"/>
      <name val="Calibri"/>
      <family val="2"/>
    </font>
    <font>
      <sz val="11"/>
      <color rgb="FF000000"/>
      <name val="Calibri"/>
      <family val="2"/>
    </font>
    <font>
      <b/>
      <sz val="10"/>
      <name val="Arial Narrow"/>
      <family val="2"/>
    </font>
    <font>
      <b/>
      <sz val="10"/>
      <name val="Calibri"/>
      <family val="2"/>
    </font>
    <font>
      <sz val="10"/>
      <name val="Calibri"/>
      <family val="2"/>
    </font>
    <font>
      <sz val="10"/>
      <name val="Calibri"/>
      <family val="2"/>
      <scheme val="minor"/>
    </font>
    <font>
      <b/>
      <sz val="10"/>
      <color rgb="FFFF0066"/>
      <name val="Calibri"/>
      <family val="2"/>
    </font>
    <font>
      <b/>
      <sz val="10"/>
      <name val="Arial Nova Light"/>
      <family val="2"/>
    </font>
    <font>
      <b/>
      <sz val="10"/>
      <name val="Calibri"/>
      <family val="2"/>
      <scheme val="minor"/>
    </font>
    <font>
      <b/>
      <u/>
      <sz val="10"/>
      <name val="Arial Narrow"/>
      <family val="2"/>
    </font>
    <font>
      <sz val="10"/>
      <name val="Arial Narrow"/>
      <family val="2"/>
    </font>
    <font>
      <sz val="10"/>
      <name val="Calibri Light"/>
      <family val="2"/>
    </font>
    <font>
      <b/>
      <i/>
      <sz val="10"/>
      <name val="Arial Narrow"/>
      <family val="2"/>
    </font>
    <font>
      <sz val="10"/>
      <name val="Arial Nova Light"/>
      <family val="2"/>
    </font>
    <font>
      <b/>
      <i/>
      <sz val="10"/>
      <color rgb="FFFF0066"/>
      <name val="Arial Narrow"/>
      <family val="2"/>
    </font>
    <font>
      <sz val="10"/>
      <color rgb="FF000000"/>
      <name val="Arial Nova Light"/>
      <family val="2"/>
    </font>
    <font>
      <b/>
      <sz val="10"/>
      <color theme="1"/>
      <name val="Calibri"/>
      <family val="2"/>
      <scheme val="minor"/>
    </font>
    <font>
      <sz val="10"/>
      <color theme="1"/>
      <name val="Calibri"/>
      <family val="2"/>
      <scheme val="minor"/>
    </font>
    <font>
      <b/>
      <sz val="10"/>
      <color theme="1"/>
      <name val="Arial Narrow"/>
      <family val="2"/>
    </font>
    <font>
      <b/>
      <sz val="10"/>
      <color rgb="FFFF0066"/>
      <name val="Calibri"/>
      <family val="2"/>
      <scheme val="minor"/>
    </font>
    <font>
      <b/>
      <sz val="10"/>
      <color theme="1"/>
      <name val="Arial Nova Light"/>
      <family val="2"/>
    </font>
    <font>
      <sz val="10"/>
      <color theme="1"/>
      <name val="Arial Nova Light"/>
      <family val="2"/>
    </font>
    <font>
      <sz val="10"/>
      <color theme="1"/>
      <name val="Calibri Light"/>
      <family val="2"/>
    </font>
    <font>
      <sz val="10"/>
      <color rgb="FF000000"/>
      <name val="Calibri Light"/>
      <family val="2"/>
    </font>
    <font>
      <b/>
      <sz val="10"/>
      <color rgb="FF000000"/>
      <name val="Arial Nova Light"/>
      <family val="2"/>
    </font>
    <font>
      <sz val="10"/>
      <color rgb="FF000000"/>
      <name val="Calibri"/>
      <family val="2"/>
    </font>
    <font>
      <b/>
      <sz val="10"/>
      <color rgb="FF000000"/>
      <name val="Arial Narrow"/>
      <family val="2"/>
    </font>
    <font>
      <b/>
      <sz val="10"/>
      <color theme="1"/>
      <name val="Calibri Light"/>
      <family val="2"/>
    </font>
    <font>
      <sz val="10"/>
      <color rgb="FFFF0000"/>
      <name val="Calibri"/>
      <family val="2"/>
      <scheme val="minor"/>
    </font>
    <font>
      <sz val="16"/>
      <name val="Calibri"/>
      <family val="2"/>
    </font>
    <font>
      <sz val="16"/>
      <name val="Calibri"/>
      <family val="2"/>
      <scheme val="minor"/>
    </font>
    <font>
      <b/>
      <sz val="16"/>
      <name val="Calibri"/>
      <family val="2"/>
    </font>
    <font>
      <b/>
      <sz val="16"/>
      <name val="Calibri"/>
      <family val="2"/>
      <scheme val="minor"/>
    </font>
    <font>
      <b/>
      <sz val="16"/>
      <color theme="1"/>
      <name val="Calibri"/>
      <family val="2"/>
    </font>
    <font>
      <sz val="16"/>
      <color theme="1"/>
      <name val="Calibri"/>
      <family val="2"/>
    </font>
    <font>
      <b/>
      <u/>
      <sz val="20"/>
      <name val="Arial Narrow"/>
      <family val="2"/>
    </font>
    <font>
      <b/>
      <sz val="16"/>
      <name val="Arial"/>
      <family val="2"/>
    </font>
    <font>
      <b/>
      <sz val="20"/>
      <color rgb="FF000000"/>
      <name val="Calibri"/>
      <family val="2"/>
    </font>
    <font>
      <b/>
      <sz val="18"/>
      <name val="Calibri"/>
      <family val="2"/>
    </font>
    <font>
      <b/>
      <u/>
      <sz val="11"/>
      <name val="Arial Narrow"/>
      <family val="2"/>
    </font>
    <font>
      <b/>
      <sz val="11"/>
      <name val="Arial Narrow"/>
      <family val="2"/>
    </font>
    <font>
      <sz val="9"/>
      <name val="Arial Narrow"/>
      <family val="2"/>
    </font>
    <font>
      <b/>
      <sz val="12"/>
      <name val="Calibri"/>
      <family val="2"/>
    </font>
    <font>
      <sz val="12"/>
      <color rgb="FF000000"/>
      <name val="Calibri"/>
      <family val="2"/>
    </font>
    <font>
      <b/>
      <sz val="12"/>
      <color rgb="FF000000"/>
      <name val="Calibri"/>
      <family val="2"/>
    </font>
    <font>
      <sz val="12"/>
      <name val="Calibri"/>
      <family val="2"/>
    </font>
    <font>
      <b/>
      <sz val="14"/>
      <name val="Calibri"/>
      <family val="2"/>
    </font>
    <font>
      <i/>
      <sz val="14"/>
      <name val="Calibri"/>
      <family val="2"/>
    </font>
    <font>
      <i/>
      <sz val="12"/>
      <name val="Calibri"/>
      <family val="2"/>
    </font>
    <font>
      <sz val="14"/>
      <name val="Calibri"/>
      <family val="2"/>
    </font>
    <font>
      <i/>
      <sz val="8"/>
      <name val="Calibri"/>
      <family val="2"/>
    </font>
    <font>
      <i/>
      <sz val="10"/>
      <name val="Calibri"/>
      <family val="2"/>
    </font>
    <font>
      <b/>
      <sz val="14"/>
      <name val="Calibri"/>
      <family val="2"/>
      <scheme val="minor"/>
    </font>
    <font>
      <sz val="8"/>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2" tint="-0.14999847407452621"/>
        <bgColor rgb="FFD9D9D9"/>
      </patternFill>
    </fill>
    <fill>
      <patternFill patternType="solid">
        <fgColor rgb="FFFFD965"/>
        <bgColor rgb="FFFFD965"/>
      </patternFill>
    </fill>
    <fill>
      <patternFill patternType="solid">
        <fgColor rgb="FFFF0000"/>
        <bgColor indexed="64"/>
      </patternFill>
    </fill>
    <fill>
      <patternFill patternType="solid">
        <fgColor rgb="FF00B050"/>
        <bgColor indexed="64"/>
      </patternFill>
    </fill>
    <fill>
      <patternFill patternType="solid">
        <fgColor theme="0"/>
        <bgColor theme="0"/>
      </patternFill>
    </fill>
    <fill>
      <patternFill patternType="solid">
        <fgColor rgb="FF6FA8DC"/>
        <bgColor rgb="FF6FA8DC"/>
      </patternFill>
    </fill>
    <fill>
      <patternFill patternType="solid">
        <fgColor rgb="FFFFFFFF"/>
        <bgColor rgb="FF000000"/>
      </patternFill>
    </fill>
    <fill>
      <patternFill patternType="solid">
        <fgColor theme="0" tint="-0.24997711111789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806000"/>
        <bgColor rgb="FF806000"/>
      </patternFill>
    </fill>
    <fill>
      <patternFill patternType="solid">
        <fgColor theme="2" tint="-0.14999847407452621"/>
        <bgColor rgb="FFF2F2F2"/>
      </patternFill>
    </fill>
    <fill>
      <patternFill patternType="solid">
        <fgColor rgb="FF8EAADB"/>
        <bgColor rgb="FF8EAADB"/>
      </patternFill>
    </fill>
    <fill>
      <patternFill patternType="solid">
        <fgColor rgb="FFFFE598"/>
        <bgColor rgb="FFFFE598"/>
      </patternFill>
    </fill>
    <fill>
      <patternFill patternType="solid">
        <fgColor theme="7" tint="0.59999389629810485"/>
        <bgColor indexed="64"/>
      </patternFill>
    </fill>
    <fill>
      <patternFill patternType="solid">
        <fgColor rgb="FFFFD966"/>
        <bgColor rgb="FFFFD966"/>
      </patternFill>
    </fill>
    <fill>
      <patternFill patternType="solid">
        <fgColor theme="0"/>
        <bgColor rgb="FFFFD966"/>
      </patternFill>
    </fill>
    <fill>
      <patternFill patternType="solid">
        <fgColor theme="0"/>
        <bgColor rgb="FFFFFFFF"/>
      </patternFill>
    </fill>
    <fill>
      <patternFill patternType="solid">
        <fgColor theme="9" tint="0.79998168889431442"/>
        <bgColor rgb="FFFFFFFF"/>
      </patternFill>
    </fill>
    <fill>
      <patternFill patternType="solid">
        <fgColor theme="0"/>
        <bgColor rgb="FF8EAADB"/>
      </patternFill>
    </fill>
    <fill>
      <patternFill patternType="solid">
        <fgColor rgb="FFFFFFFF"/>
        <bgColor rgb="FFFFFFFF"/>
      </patternFill>
    </fill>
    <fill>
      <patternFill patternType="solid">
        <fgColor theme="0"/>
        <bgColor rgb="FF6FA8DC"/>
      </patternFill>
    </fill>
    <fill>
      <patternFill patternType="solid">
        <fgColor theme="0"/>
        <bgColor rgb="FF000000"/>
      </patternFill>
    </fill>
    <fill>
      <patternFill patternType="solid">
        <fgColor theme="4" tint="0.59999389629810485"/>
        <bgColor indexed="64"/>
      </patternFill>
    </fill>
    <fill>
      <patternFill patternType="solid">
        <fgColor rgb="FFBFBFBF"/>
        <bgColor rgb="FFBFBFBF"/>
      </patternFill>
    </fill>
    <fill>
      <patternFill patternType="solid">
        <fgColor theme="0" tint="-0.14999847407452621"/>
        <bgColor rgb="FFBFBFBF"/>
      </patternFill>
    </fill>
    <fill>
      <patternFill patternType="solid">
        <fgColor rgb="FFF2F2F2"/>
        <bgColor rgb="FFF2F2F2"/>
      </patternFill>
    </fill>
  </fills>
  <borders count="66">
    <border>
      <left/>
      <right/>
      <top/>
      <bottom/>
      <diagonal/>
    </border>
    <border>
      <left/>
      <right/>
      <top style="thin">
        <color auto="1"/>
      </top>
      <bottom style="thin">
        <color auto="1"/>
      </bottom>
      <diagonal/>
    </border>
    <border>
      <left style="medium">
        <color indexed="64"/>
      </left>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dotted">
        <color rgb="FF000000"/>
      </bottom>
      <diagonal/>
    </border>
    <border>
      <left/>
      <right style="medium">
        <color rgb="FF000000"/>
      </right>
      <top/>
      <bottom style="dotted">
        <color rgb="FF000000"/>
      </bottom>
      <diagonal/>
    </border>
    <border>
      <left/>
      <right/>
      <top style="medium">
        <color rgb="FF000000"/>
      </top>
      <bottom/>
      <diagonal/>
    </border>
    <border>
      <left style="thin">
        <color rgb="FF000000"/>
      </left>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medium">
        <color indexed="64"/>
      </top>
      <bottom style="dotted">
        <color rgb="FF000000"/>
      </bottom>
      <diagonal/>
    </border>
    <border>
      <left/>
      <right style="medium">
        <color indexed="64"/>
      </right>
      <top style="medium">
        <color indexed="64"/>
      </top>
      <bottom style="dotted">
        <color rgb="FF000000"/>
      </bottom>
      <diagonal/>
    </border>
    <border>
      <left/>
      <right/>
      <top style="dotted">
        <color rgb="FF000000"/>
      </top>
      <bottom style="dotted">
        <color rgb="FF000000"/>
      </bottom>
      <diagonal/>
    </border>
    <border>
      <left/>
      <right style="medium">
        <color indexed="64"/>
      </right>
      <top style="dotted">
        <color rgb="FF000000"/>
      </top>
      <bottom style="dotted">
        <color rgb="FF000000"/>
      </bottom>
      <diagonal/>
    </border>
    <border>
      <left/>
      <right/>
      <top/>
      <bottom style="dotted">
        <color rgb="FF000000"/>
      </bottom>
      <diagonal/>
    </border>
    <border>
      <left/>
      <right style="medium">
        <color indexed="64"/>
      </right>
      <top/>
      <bottom style="dotted">
        <color rgb="FF000000"/>
      </bottom>
      <diagonal/>
    </border>
    <border>
      <left/>
      <right/>
      <top style="dotted">
        <color rgb="FF000000"/>
      </top>
      <bottom/>
      <diagonal/>
    </border>
    <border>
      <left/>
      <right style="medium">
        <color indexed="64"/>
      </right>
      <top style="dotted">
        <color rgb="FF000000"/>
      </top>
      <bottom/>
      <diagonal/>
    </border>
    <border>
      <left/>
      <right/>
      <top/>
      <bottom style="medium">
        <color rgb="FF000000"/>
      </bottom>
      <diagonal/>
    </border>
    <border>
      <left/>
      <right style="thin">
        <color rgb="FF000000"/>
      </right>
      <top style="medium">
        <color rgb="FF000000"/>
      </top>
      <bottom style="thin">
        <color rgb="FF000000"/>
      </bottom>
      <diagonal/>
    </border>
    <border>
      <left/>
      <right style="medium">
        <color rgb="FF000000"/>
      </right>
      <top style="dotted">
        <color rgb="FF000000"/>
      </top>
      <bottom/>
      <diagonal/>
    </border>
  </borders>
  <cellStyleXfs count="49">
    <xf numFmtId="0" fontId="0" fillId="0" borderId="0"/>
    <xf numFmtId="165" fontId="1" fillId="0" borderId="0" applyFont="0" applyFill="0" applyBorder="0" applyAlignment="0" applyProtection="0"/>
    <xf numFmtId="0" fontId="1" fillId="0" borderId="0"/>
    <xf numFmtId="0" fontId="6" fillId="0" borderId="0"/>
    <xf numFmtId="166"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166" fontId="4" fillId="0" borderId="0" applyFont="0" applyFill="0" applyBorder="0" applyAlignment="0" applyProtection="0"/>
    <xf numFmtId="166" fontId="1" fillId="0" borderId="0" applyFont="0" applyFill="0" applyBorder="0" applyAlignment="0" applyProtection="0"/>
    <xf numFmtId="166" fontId="8"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7" fillId="0" borderId="0"/>
    <xf numFmtId="0" fontId="1" fillId="0" borderId="0"/>
    <xf numFmtId="0" fontId="4" fillId="0" borderId="0"/>
    <xf numFmtId="0" fontId="1" fillId="0" borderId="0"/>
    <xf numFmtId="0" fontId="8" fillId="0" borderId="0"/>
    <xf numFmtId="9" fontId="4"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0" fontId="9" fillId="0" borderId="0"/>
    <xf numFmtId="0" fontId="1" fillId="0" borderId="0"/>
    <xf numFmtId="9" fontId="9" fillId="0" borderId="0" applyFont="0" applyFill="0" applyBorder="0" applyAlignment="0" applyProtection="0"/>
    <xf numFmtId="165" fontId="9" fillId="0" borderId="0" applyFont="0" applyFill="0" applyBorder="0" applyAlignment="0" applyProtection="0"/>
    <xf numFmtId="168" fontId="4" fillId="0" borderId="0"/>
    <xf numFmtId="0" fontId="1" fillId="0" borderId="0"/>
    <xf numFmtId="0" fontId="9" fillId="0" borderId="0"/>
    <xf numFmtId="166" fontId="9" fillId="0" borderId="0" applyFont="0" applyFill="0" applyBorder="0" applyAlignment="0" applyProtection="0"/>
    <xf numFmtId="0" fontId="1" fillId="0" borderId="0"/>
    <xf numFmtId="0" fontId="10" fillId="0" borderId="0"/>
    <xf numFmtId="0" fontId="4" fillId="0" borderId="0"/>
    <xf numFmtId="9" fontId="10" fillId="0" borderId="0" applyFont="0" applyFill="0" applyBorder="0" applyAlignment="0" applyProtection="0"/>
    <xf numFmtId="165" fontId="10" fillId="0" borderId="0" applyFont="0" applyFill="0" applyBorder="0" applyAlignment="0" applyProtection="0"/>
    <xf numFmtId="166" fontId="10" fillId="0" borderId="0" applyFont="0" applyFill="0" applyBorder="0" applyAlignment="0" applyProtection="0"/>
    <xf numFmtId="0" fontId="13" fillId="0" borderId="0"/>
    <xf numFmtId="164" fontId="1"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0" fontId="1" fillId="0" borderId="0"/>
    <xf numFmtId="43" fontId="12" fillId="0" borderId="0" applyFont="0" applyFill="0" applyBorder="0" applyAlignment="0" applyProtection="0"/>
    <xf numFmtId="41" fontId="1" fillId="0" borderId="0" applyFont="0" applyFill="0" applyBorder="0" applyAlignment="0" applyProtection="0"/>
    <xf numFmtId="0" fontId="13" fillId="0" borderId="0"/>
    <xf numFmtId="170" fontId="1" fillId="0" borderId="0" applyFont="0" applyFill="0" applyBorder="0" applyAlignment="0" applyProtection="0"/>
    <xf numFmtId="0" fontId="14" fillId="0" borderId="0">
      <alignment vertical="center"/>
    </xf>
  </cellStyleXfs>
  <cellXfs count="281">
    <xf numFmtId="0" fontId="0" fillId="0" borderId="0" xfId="0"/>
    <xf numFmtId="0" fontId="11" fillId="0" borderId="0" xfId="0" applyFont="1" applyAlignment="1">
      <alignment vertical="center" wrapText="1"/>
    </xf>
    <xf numFmtId="0" fontId="11" fillId="5" borderId="0" xfId="0" applyFont="1" applyFill="1" applyAlignment="1">
      <alignment vertical="center" wrapText="1"/>
    </xf>
    <xf numFmtId="0" fontId="0" fillId="0" borderId="0" xfId="0" applyAlignment="1">
      <alignment vertical="center" wrapText="1"/>
    </xf>
    <xf numFmtId="0" fontId="0" fillId="2" borderId="0" xfId="0" applyFill="1" applyAlignment="1">
      <alignment vertical="center" wrapText="1"/>
    </xf>
    <xf numFmtId="0" fontId="11" fillId="0" borderId="0" xfId="0" applyFont="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0" xfId="0" applyFont="1" applyAlignment="1">
      <alignment horizontal="center" vertical="center" wrapText="1"/>
    </xf>
    <xf numFmtId="0" fontId="19" fillId="0" borderId="0" xfId="40" applyNumberFormat="1" applyFont="1" applyAlignment="1">
      <alignment horizontal="center" vertical="center" wrapText="1"/>
    </xf>
    <xf numFmtId="0" fontId="20" fillId="0" borderId="0" xfId="0" applyFont="1" applyAlignment="1">
      <alignment vertical="center" wrapText="1"/>
    </xf>
    <xf numFmtId="0" fontId="21" fillId="16" borderId="16" xfId="0" applyFont="1" applyFill="1" applyBorder="1" applyAlignment="1">
      <alignment horizontal="center" vertical="center" wrapText="1"/>
    </xf>
    <xf numFmtId="0" fontId="22" fillId="16" borderId="16" xfId="0" applyFont="1" applyFill="1" applyBorder="1" applyAlignment="1">
      <alignment horizontal="center" vertical="center" wrapText="1"/>
    </xf>
    <xf numFmtId="0" fontId="18" fillId="3" borderId="13" xfId="0" applyFont="1" applyFill="1" applyBorder="1" applyAlignment="1">
      <alignment horizontal="center" vertical="center" wrapText="1"/>
    </xf>
    <xf numFmtId="0" fontId="18" fillId="4" borderId="13" xfId="0" applyFont="1" applyFill="1" applyBorder="1" applyAlignment="1">
      <alignment horizontal="center" vertical="center" wrapText="1"/>
    </xf>
    <xf numFmtId="0" fontId="18" fillId="4" borderId="13" xfId="40" applyNumberFormat="1" applyFont="1" applyFill="1" applyBorder="1" applyAlignment="1">
      <alignment horizontal="center" vertical="center" wrapText="1"/>
    </xf>
    <xf numFmtId="169"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24" fillId="17" borderId="17" xfId="0" applyFont="1" applyFill="1" applyBorder="1" applyAlignment="1">
      <alignment horizontal="center" vertical="center" wrapText="1"/>
    </xf>
    <xf numFmtId="0" fontId="20" fillId="5" borderId="0" xfId="0" applyFont="1" applyFill="1" applyAlignment="1">
      <alignment vertical="center" wrapText="1"/>
    </xf>
    <xf numFmtId="0" fontId="20" fillId="6" borderId="0" xfId="0" applyFont="1" applyFill="1" applyAlignment="1">
      <alignment vertical="center" wrapText="1"/>
    </xf>
    <xf numFmtId="0" fontId="32" fillId="0" borderId="0" xfId="0" applyFont="1" applyAlignment="1">
      <alignment vertical="center" wrapText="1"/>
    </xf>
    <xf numFmtId="0" fontId="32" fillId="2" borderId="0" xfId="0" applyFont="1" applyFill="1" applyAlignment="1">
      <alignment vertical="center" wrapText="1"/>
    </xf>
    <xf numFmtId="0" fontId="40" fillId="9" borderId="14" xfId="0" applyFont="1" applyFill="1" applyBorder="1"/>
    <xf numFmtId="0" fontId="32" fillId="2" borderId="0" xfId="0" applyFont="1" applyFill="1" applyAlignment="1">
      <alignment horizontal="center" vertical="center" wrapText="1"/>
    </xf>
    <xf numFmtId="0" fontId="21" fillId="0" borderId="0" xfId="0" applyFont="1" applyAlignment="1">
      <alignment horizontal="center" vertical="center" wrapText="1"/>
    </xf>
    <xf numFmtId="0" fontId="28" fillId="0" borderId="0" xfId="0" applyFont="1" applyAlignment="1">
      <alignment vertical="center" wrapText="1"/>
    </xf>
    <xf numFmtId="0" fontId="34" fillId="0" borderId="0" xfId="0" applyFont="1" applyAlignment="1">
      <alignment horizontal="center" vertical="center" wrapText="1"/>
    </xf>
    <xf numFmtId="0" fontId="20" fillId="0" borderId="0" xfId="0" applyFont="1" applyAlignment="1">
      <alignment horizontal="center" vertical="center" wrapText="1"/>
    </xf>
    <xf numFmtId="0" fontId="20" fillId="0" borderId="0" xfId="40" applyNumberFormat="1" applyFont="1" applyAlignment="1">
      <alignment horizontal="center" vertical="center" wrapText="1"/>
    </xf>
    <xf numFmtId="0" fontId="22" fillId="16" borderId="18" xfId="0" applyFont="1" applyFill="1" applyBorder="1" applyAlignment="1">
      <alignment horizontal="center" vertical="center" wrapText="1"/>
    </xf>
    <xf numFmtId="0" fontId="24" fillId="17" borderId="15" xfId="0" applyFont="1" applyFill="1" applyBorder="1" applyAlignment="1">
      <alignment horizontal="center" vertical="center" wrapText="1"/>
    </xf>
    <xf numFmtId="0" fontId="19" fillId="0" borderId="18" xfId="0" applyFont="1" applyBorder="1" applyAlignment="1">
      <alignment horizontal="center" vertical="center" wrapText="1"/>
    </xf>
    <xf numFmtId="0" fontId="19" fillId="0" borderId="18" xfId="40" applyNumberFormat="1" applyFont="1" applyBorder="1" applyAlignment="1">
      <alignment horizontal="center" vertical="center" wrapText="1"/>
    </xf>
    <xf numFmtId="0" fontId="25" fillId="0" borderId="18" xfId="0" applyFont="1" applyBorder="1" applyAlignment="1">
      <alignment horizontal="center" vertical="center" wrapText="1"/>
    </xf>
    <xf numFmtId="0" fontId="25" fillId="0" borderId="18" xfId="0" applyFont="1" applyBorder="1" applyAlignment="1">
      <alignment vertical="center" wrapText="1"/>
    </xf>
    <xf numFmtId="0" fontId="20" fillId="0" borderId="18" xfId="0" applyFont="1" applyBorder="1" applyAlignment="1">
      <alignment horizontal="center" vertical="center" wrapText="1"/>
    </xf>
    <xf numFmtId="0" fontId="26" fillId="0" borderId="18" xfId="0" applyFont="1" applyBorder="1" applyAlignment="1">
      <alignment vertical="center" wrapText="1"/>
    </xf>
    <xf numFmtId="0" fontId="19" fillId="0" borderId="18" xfId="0" applyFont="1" applyBorder="1" applyAlignment="1">
      <alignment horizontal="left" vertical="center" wrapText="1"/>
    </xf>
    <xf numFmtId="0" fontId="19" fillId="0" borderId="18" xfId="0" applyFont="1" applyBorder="1" applyAlignment="1">
      <alignment vertical="center" wrapText="1"/>
    </xf>
    <xf numFmtId="0" fontId="24" fillId="17" borderId="18" xfId="0" applyFont="1" applyFill="1" applyBorder="1" applyAlignment="1">
      <alignment horizontal="center" vertical="center" wrapText="1"/>
    </xf>
    <xf numFmtId="0" fontId="24" fillId="17" borderId="18" xfId="0" applyFont="1" applyFill="1" applyBorder="1" applyAlignment="1">
      <alignment vertical="center" wrapText="1"/>
    </xf>
    <xf numFmtId="0" fontId="17" fillId="18" borderId="18" xfId="0" applyFont="1" applyFill="1" applyBorder="1" applyAlignment="1">
      <alignment horizontal="center" vertical="center" wrapText="1"/>
    </xf>
    <xf numFmtId="0" fontId="17" fillId="18" borderId="18" xfId="0" applyFont="1" applyFill="1" applyBorder="1" applyAlignment="1">
      <alignment vertical="center" wrapText="1"/>
    </xf>
    <xf numFmtId="0" fontId="18" fillId="0" borderId="18" xfId="0" applyFont="1" applyBorder="1" applyAlignment="1">
      <alignment horizontal="center" vertical="center" wrapText="1"/>
    </xf>
    <xf numFmtId="0" fontId="27" fillId="18" borderId="18" xfId="0" applyFont="1" applyFill="1" applyBorder="1" applyAlignment="1">
      <alignment vertical="center" wrapText="1"/>
    </xf>
    <xf numFmtId="0" fontId="27" fillId="18" borderId="18" xfId="0" applyFont="1" applyFill="1" applyBorder="1" applyAlignment="1">
      <alignment horizontal="center" vertical="center" wrapText="1"/>
    </xf>
    <xf numFmtId="0" fontId="18" fillId="13" borderId="18" xfId="0" applyFont="1" applyFill="1" applyBorder="1" applyAlignment="1">
      <alignment horizontal="center" vertical="center" wrapText="1"/>
    </xf>
    <xf numFmtId="0" fontId="22" fillId="13" borderId="18" xfId="0" applyFont="1" applyFill="1" applyBorder="1" applyAlignment="1">
      <alignment vertical="center" wrapText="1"/>
    </xf>
    <xf numFmtId="0" fontId="26" fillId="0" borderId="18" xfId="0" applyFont="1" applyBorder="1" applyAlignment="1">
      <alignment horizontal="center" vertical="center" wrapText="1"/>
    </xf>
    <xf numFmtId="0" fontId="26" fillId="0" borderId="18" xfId="0" applyFont="1" applyBorder="1" applyAlignment="1">
      <alignment horizontal="left" vertical="center" wrapText="1"/>
    </xf>
    <xf numFmtId="0" fontId="26" fillId="0" borderId="18" xfId="0" applyFont="1" applyBorder="1" applyAlignment="1">
      <alignment wrapText="1"/>
    </xf>
    <xf numFmtId="0" fontId="21" fillId="0" borderId="18" xfId="0" applyFont="1" applyBorder="1" applyAlignment="1">
      <alignment horizontal="center" vertical="center" wrapText="1"/>
    </xf>
    <xf numFmtId="0" fontId="19" fillId="0" borderId="18" xfId="40" applyNumberFormat="1" applyFont="1" applyFill="1" applyBorder="1" applyAlignment="1">
      <alignment horizontal="center" vertical="center" wrapText="1"/>
    </xf>
    <xf numFmtId="0" fontId="28" fillId="0" borderId="18" xfId="0" applyFont="1" applyBorder="1" applyAlignment="1">
      <alignment horizontal="center" vertical="center" wrapText="1"/>
    </xf>
    <xf numFmtId="0" fontId="18" fillId="19" borderId="18"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29" fillId="0" borderId="18" xfId="0" applyFont="1" applyBorder="1" applyAlignment="1">
      <alignment horizontal="center" vertical="center" wrapText="1"/>
    </xf>
    <xf numFmtId="11" fontId="26" fillId="0" borderId="18" xfId="2" applyNumberFormat="1" applyFont="1" applyBorder="1" applyAlignment="1">
      <alignment horizontal="left" vertical="center" wrapText="1"/>
    </xf>
    <xf numFmtId="0" fontId="26" fillId="0" borderId="18" xfId="2" applyFont="1" applyBorder="1" applyAlignment="1">
      <alignment horizontal="left" vertical="center" wrapText="1"/>
    </xf>
    <xf numFmtId="0" fontId="26" fillId="0" borderId="18" xfId="33" applyFont="1" applyBorder="1" applyAlignment="1">
      <alignment horizontal="left" vertical="center" wrapText="1"/>
    </xf>
    <xf numFmtId="0" fontId="22" fillId="13" borderId="18" xfId="0" applyFont="1" applyFill="1" applyBorder="1" applyAlignment="1">
      <alignment horizontal="center" vertical="center" wrapText="1"/>
    </xf>
    <xf numFmtId="0" fontId="28" fillId="13" borderId="18" xfId="0" applyFont="1" applyFill="1" applyBorder="1" applyAlignment="1">
      <alignment horizontal="center" vertical="center" wrapText="1"/>
    </xf>
    <xf numFmtId="0" fontId="28" fillId="0" borderId="18" xfId="0" applyFont="1" applyBorder="1" applyAlignment="1">
      <alignment vertical="center" wrapText="1"/>
    </xf>
    <xf numFmtId="0" fontId="30" fillId="0" borderId="18" xfId="0" applyFont="1" applyBorder="1" applyAlignment="1">
      <alignment horizontal="center" vertical="center" wrapText="1"/>
    </xf>
    <xf numFmtId="0" fontId="20" fillId="0" borderId="18" xfId="40" applyNumberFormat="1" applyFont="1" applyBorder="1" applyAlignment="1">
      <alignment horizontal="center" vertical="center" wrapText="1"/>
    </xf>
    <xf numFmtId="4" fontId="26" fillId="0" borderId="18" xfId="0" applyNumberFormat="1" applyFont="1" applyBorder="1" applyAlignment="1">
      <alignment horizontal="left" vertical="center" wrapText="1"/>
    </xf>
    <xf numFmtId="0" fontId="18" fillId="18" borderId="18" xfId="0" applyFont="1" applyFill="1" applyBorder="1" applyAlignment="1">
      <alignment vertical="center" wrapText="1"/>
    </xf>
    <xf numFmtId="0" fontId="28" fillId="2" borderId="18" xfId="0" applyFont="1" applyFill="1" applyBorder="1" applyAlignment="1">
      <alignment horizontal="center" vertical="center" wrapText="1"/>
    </xf>
    <xf numFmtId="41" fontId="26" fillId="0" borderId="18" xfId="0" applyNumberFormat="1" applyFont="1" applyBorder="1" applyAlignment="1">
      <alignment horizontal="left" vertical="center" wrapText="1"/>
    </xf>
    <xf numFmtId="0" fontId="31" fillId="8" borderId="18" xfId="0" applyFont="1" applyFill="1" applyBorder="1" applyAlignment="1">
      <alignment vertical="center" wrapText="1"/>
    </xf>
    <xf numFmtId="0" fontId="31" fillId="8" borderId="18" xfId="0" applyFont="1" applyFill="1" applyBorder="1" applyAlignment="1">
      <alignment horizontal="center" vertical="center" wrapText="1"/>
    </xf>
    <xf numFmtId="0" fontId="33" fillId="20" borderId="18" xfId="0" applyFont="1" applyFill="1" applyBorder="1" applyAlignment="1">
      <alignment vertical="center" wrapText="1"/>
    </xf>
    <xf numFmtId="0" fontId="33" fillId="20" borderId="18" xfId="0" applyFont="1" applyFill="1" applyBorder="1" applyAlignment="1">
      <alignment horizontal="center" vertical="center" wrapText="1"/>
    </xf>
    <xf numFmtId="0" fontId="34" fillId="2" borderId="18" xfId="0" applyFont="1" applyFill="1" applyBorder="1" applyAlignment="1">
      <alignment horizontal="center" vertical="center" wrapText="1"/>
    </xf>
    <xf numFmtId="0" fontId="35" fillId="13" borderId="18" xfId="0" applyFont="1" applyFill="1" applyBorder="1" applyAlignment="1">
      <alignment vertical="center" wrapText="1"/>
    </xf>
    <xf numFmtId="0" fontId="36" fillId="2" borderId="18" xfId="0" applyFont="1" applyFill="1" applyBorder="1" applyAlignment="1">
      <alignment horizontal="center" vertical="center" wrapText="1"/>
    </xf>
    <xf numFmtId="0" fontId="32" fillId="2" borderId="18" xfId="0" applyFont="1" applyFill="1" applyBorder="1" applyAlignment="1">
      <alignment horizontal="center" vertical="center" wrapText="1"/>
    </xf>
    <xf numFmtId="0" fontId="32" fillId="2" borderId="18" xfId="40" applyNumberFormat="1" applyFont="1" applyFill="1" applyBorder="1" applyAlignment="1">
      <alignment horizontal="center" vertical="center" wrapText="1"/>
    </xf>
    <xf numFmtId="0" fontId="37" fillId="2" borderId="18" xfId="0" applyFont="1" applyFill="1" applyBorder="1" applyAlignment="1">
      <alignment horizontal="left" vertical="center" wrapText="1"/>
    </xf>
    <xf numFmtId="0" fontId="31" fillId="20" borderId="18" xfId="0" applyFont="1" applyFill="1" applyBorder="1" applyAlignment="1">
      <alignment vertical="center" wrapText="1"/>
    </xf>
    <xf numFmtId="0" fontId="31" fillId="20" borderId="18" xfId="0" applyFont="1" applyFill="1" applyBorder="1" applyAlignment="1">
      <alignment horizontal="center" vertical="center" wrapText="1"/>
    </xf>
    <xf numFmtId="0" fontId="38" fillId="2" borderId="18" xfId="0" applyFont="1" applyFill="1" applyBorder="1" applyAlignment="1">
      <alignment vertical="center" wrapText="1"/>
    </xf>
    <xf numFmtId="0" fontId="26" fillId="2" borderId="18" xfId="0" applyFont="1" applyFill="1" applyBorder="1" applyAlignment="1">
      <alignment vertical="center" wrapText="1"/>
    </xf>
    <xf numFmtId="0" fontId="39" fillId="13" borderId="18" xfId="0" applyFont="1" applyFill="1" applyBorder="1" applyAlignment="1">
      <alignment vertical="center" wrapText="1"/>
    </xf>
    <xf numFmtId="0" fontId="30" fillId="2" borderId="18" xfId="0" applyFont="1" applyFill="1" applyBorder="1" applyAlignment="1">
      <alignment horizontal="center" vertical="center" wrapText="1"/>
    </xf>
    <xf numFmtId="0" fontId="40" fillId="9" borderId="18" xfId="0" applyFont="1" applyFill="1" applyBorder="1"/>
    <xf numFmtId="0" fontId="34" fillId="21" borderId="18" xfId="0" applyFont="1" applyFill="1" applyBorder="1" applyAlignment="1">
      <alignment horizontal="center" vertical="center" wrapText="1"/>
    </xf>
    <xf numFmtId="0" fontId="37" fillId="22" borderId="18" xfId="0" applyFont="1" applyFill="1" applyBorder="1" applyAlignment="1">
      <alignment horizontal="left" vertical="center" wrapText="1"/>
    </xf>
    <xf numFmtId="9" fontId="36" fillId="2" borderId="18" xfId="0" applyNumberFormat="1" applyFont="1" applyFill="1" applyBorder="1" applyAlignment="1">
      <alignment horizontal="center" vertical="center" wrapText="1"/>
    </xf>
    <xf numFmtId="0" fontId="35" fillId="23" borderId="18" xfId="0" applyFont="1" applyFill="1" applyBorder="1" applyAlignment="1">
      <alignment vertical="center" wrapText="1"/>
    </xf>
    <xf numFmtId="0" fontId="36" fillId="22" borderId="18" xfId="0" applyFont="1" applyFill="1" applyBorder="1" applyAlignment="1">
      <alignment horizontal="center" vertical="center" wrapText="1"/>
    </xf>
    <xf numFmtId="0" fontId="2" fillId="8" borderId="18" xfId="0" applyFont="1" applyFill="1" applyBorder="1" applyAlignment="1">
      <alignment vertical="center" wrapText="1"/>
    </xf>
    <xf numFmtId="0" fontId="2" fillId="8" borderId="18" xfId="0" applyFont="1" applyFill="1" applyBorder="1" applyAlignment="1">
      <alignment horizontal="center" vertical="center" wrapText="1"/>
    </xf>
    <xf numFmtId="0" fontId="23" fillId="10" borderId="18" xfId="35" applyFont="1" applyFill="1" applyBorder="1" applyAlignment="1" applyProtection="1">
      <alignment horizontal="center" vertical="top" wrapText="1"/>
      <protection locked="0"/>
    </xf>
    <xf numFmtId="49" fontId="23" fillId="10" borderId="18" xfId="35" applyNumberFormat="1" applyFont="1" applyFill="1" applyBorder="1" applyAlignment="1" applyProtection="1">
      <alignment horizontal="center" vertical="top" wrapText="1"/>
      <protection locked="0"/>
    </xf>
    <xf numFmtId="0" fontId="23" fillId="10" borderId="18" xfId="41" applyNumberFormat="1" applyFont="1" applyFill="1" applyBorder="1" applyAlignment="1" applyProtection="1">
      <alignment horizontal="center" vertical="top" wrapText="1"/>
      <protection locked="0"/>
    </xf>
    <xf numFmtId="0" fontId="23" fillId="10" borderId="18" xfId="42" applyNumberFormat="1" applyFont="1" applyFill="1" applyBorder="1" applyAlignment="1">
      <alignment horizontal="center" vertical="top" wrapText="1"/>
    </xf>
    <xf numFmtId="0" fontId="41" fillId="19" borderId="18" xfId="33" applyFont="1" applyFill="1" applyBorder="1" applyAlignment="1">
      <alignment vertical="center" wrapText="1"/>
    </xf>
    <xf numFmtId="0" fontId="41" fillId="19" borderId="18" xfId="33" applyFont="1" applyFill="1" applyBorder="1" applyAlignment="1">
      <alignment horizontal="center" vertical="center" wrapText="1"/>
    </xf>
    <xf numFmtId="0" fontId="20" fillId="0" borderId="18" xfId="43" applyFont="1" applyBorder="1" applyAlignment="1" applyProtection="1">
      <alignment horizontal="center" vertical="center" wrapText="1"/>
      <protection locked="0"/>
    </xf>
    <xf numFmtId="0" fontId="20" fillId="0" borderId="18" xfId="43" applyFont="1" applyBorder="1" applyAlignment="1" applyProtection="1">
      <alignment horizontal="center" vertical="top" wrapText="1"/>
      <protection locked="0"/>
    </xf>
    <xf numFmtId="0" fontId="20" fillId="11" borderId="18" xfId="44" applyNumberFormat="1" applyFont="1" applyFill="1" applyBorder="1" applyAlignment="1">
      <alignment horizontal="center" vertical="center" wrapText="1"/>
    </xf>
    <xf numFmtId="0" fontId="20" fillId="12" borderId="18" xfId="43" applyFont="1" applyFill="1" applyBorder="1" applyAlignment="1">
      <alignment horizontal="center" vertical="top" wrapText="1"/>
    </xf>
    <xf numFmtId="171" fontId="20" fillId="12" borderId="18" xfId="42" applyNumberFormat="1" applyFont="1" applyFill="1" applyBorder="1" applyAlignment="1">
      <alignment horizontal="center" vertical="top" wrapText="1"/>
    </xf>
    <xf numFmtId="171" fontId="20" fillId="12" borderId="18" xfId="43" applyNumberFormat="1" applyFont="1" applyFill="1" applyBorder="1" applyAlignment="1">
      <alignment horizontal="center" vertical="top" wrapText="1"/>
    </xf>
    <xf numFmtId="171" fontId="20" fillId="13" borderId="18" xfId="43" applyNumberFormat="1" applyFont="1" applyFill="1" applyBorder="1" applyAlignment="1">
      <alignment horizontal="center" vertical="top" wrapText="1"/>
    </xf>
    <xf numFmtId="171" fontId="20" fillId="13" borderId="18" xfId="1" applyNumberFormat="1" applyFont="1" applyFill="1" applyBorder="1" applyAlignment="1">
      <alignment horizontal="center" vertical="top" wrapText="1"/>
    </xf>
    <xf numFmtId="0" fontId="38" fillId="0" borderId="18" xfId="33" applyFont="1" applyBorder="1" applyAlignment="1">
      <alignment vertical="center" wrapText="1"/>
    </xf>
    <xf numFmtId="0" fontId="32" fillId="14" borderId="18" xfId="33" applyFont="1" applyFill="1" applyBorder="1" applyAlignment="1">
      <alignment horizontal="center" vertical="center" wrapText="1"/>
    </xf>
    <xf numFmtId="0" fontId="32" fillId="12" borderId="18" xfId="33" applyFont="1" applyFill="1" applyBorder="1" applyAlignment="1">
      <alignment horizontal="center" vertical="top" wrapText="1"/>
    </xf>
    <xf numFmtId="171" fontId="20" fillId="13" borderId="18" xfId="42" applyNumberFormat="1" applyFont="1" applyFill="1" applyBorder="1" applyAlignment="1">
      <alignment horizontal="center" vertical="top" wrapText="1"/>
    </xf>
    <xf numFmtId="171" fontId="20" fillId="0" borderId="18" xfId="43" applyNumberFormat="1" applyFont="1" applyBorder="1" applyAlignment="1" applyProtection="1">
      <alignment horizontal="center" vertical="top" wrapText="1"/>
      <protection locked="0"/>
    </xf>
    <xf numFmtId="0" fontId="37" fillId="0" borderId="18" xfId="33" applyFont="1" applyBorder="1" applyAlignment="1">
      <alignment vertical="center" wrapText="1"/>
    </xf>
    <xf numFmtId="0" fontId="31" fillId="19" borderId="18" xfId="33" applyFont="1" applyFill="1" applyBorder="1" applyAlignment="1">
      <alignment vertical="center" wrapText="1"/>
    </xf>
    <xf numFmtId="0" fontId="31" fillId="19" borderId="18" xfId="33" applyFont="1" applyFill="1" applyBorder="1" applyAlignment="1">
      <alignment horizontal="center" vertical="center" wrapText="1"/>
    </xf>
    <xf numFmtId="0" fontId="42" fillId="0" borderId="18" xfId="33" applyFont="1" applyBorder="1" applyAlignment="1">
      <alignment vertical="center" wrapText="1"/>
    </xf>
    <xf numFmtId="0" fontId="43" fillId="0" borderId="18" xfId="43" applyFont="1" applyBorder="1" applyAlignment="1" applyProtection="1">
      <alignment horizontal="center" vertical="top" wrapText="1"/>
      <protection locked="0"/>
    </xf>
    <xf numFmtId="0" fontId="37" fillId="0" borderId="18" xfId="33" applyFont="1" applyBorder="1" applyAlignment="1">
      <alignment wrapText="1"/>
    </xf>
    <xf numFmtId="0" fontId="33" fillId="19" borderId="18" xfId="33" applyFont="1" applyFill="1" applyBorder="1" applyAlignment="1">
      <alignment vertical="center" wrapText="1"/>
    </xf>
    <xf numFmtId="0" fontId="33" fillId="19" borderId="18" xfId="33" applyFont="1" applyFill="1" applyBorder="1" applyAlignment="1">
      <alignment horizontal="center" vertical="center" wrapText="1"/>
    </xf>
    <xf numFmtId="0" fontId="28" fillId="0" borderId="0" xfId="0" applyFont="1" applyAlignment="1">
      <alignment horizontal="center" vertical="center" wrapText="1"/>
    </xf>
    <xf numFmtId="0" fontId="28" fillId="0" borderId="14" xfId="0" applyFont="1" applyBorder="1" applyAlignment="1">
      <alignment horizontal="center" vertical="center" wrapText="1"/>
    </xf>
    <xf numFmtId="0" fontId="12" fillId="2" borderId="18" xfId="0" applyFont="1" applyFill="1" applyBorder="1" applyAlignment="1">
      <alignment vertical="center" wrapText="1"/>
    </xf>
    <xf numFmtId="0" fontId="12" fillId="2" borderId="0" xfId="0" applyFont="1" applyFill="1" applyAlignment="1">
      <alignment vertical="center" wrapText="1"/>
    </xf>
    <xf numFmtId="0" fontId="45" fillId="2" borderId="0" xfId="0" applyFont="1" applyFill="1" applyAlignment="1">
      <alignment vertical="center" wrapText="1"/>
    </xf>
    <xf numFmtId="0" fontId="54" fillId="24" borderId="19" xfId="0" applyFont="1" applyFill="1" applyBorder="1" applyAlignment="1">
      <alignment vertical="center" wrapText="1"/>
    </xf>
    <xf numFmtId="0" fontId="50" fillId="24" borderId="0" xfId="0" applyFont="1" applyFill="1" applyAlignment="1">
      <alignment vertical="center" wrapText="1"/>
    </xf>
    <xf numFmtId="0" fontId="50" fillId="24" borderId="28" xfId="0" applyFont="1" applyFill="1" applyBorder="1" applyAlignment="1">
      <alignment vertical="center" wrapText="1"/>
    </xf>
    <xf numFmtId="0" fontId="44" fillId="2" borderId="18" xfId="0" applyFont="1" applyFill="1" applyBorder="1" applyAlignment="1">
      <alignment horizontal="center" vertical="center" wrapText="1"/>
    </xf>
    <xf numFmtId="0" fontId="44" fillId="2" borderId="18" xfId="45" applyNumberFormat="1" applyFont="1" applyFill="1" applyBorder="1" applyAlignment="1">
      <alignment horizontal="center" vertical="center" wrapText="1"/>
    </xf>
    <xf numFmtId="0" fontId="44" fillId="2" borderId="18" xfId="0" applyFont="1" applyFill="1" applyBorder="1" applyAlignment="1">
      <alignment horizontal="left" vertical="center" wrapText="1"/>
    </xf>
    <xf numFmtId="172" fontId="48" fillId="2" borderId="18" xfId="0" applyNumberFormat="1" applyFont="1" applyFill="1" applyBorder="1" applyAlignment="1">
      <alignment horizontal="center" vertical="center" wrapText="1"/>
    </xf>
    <xf numFmtId="171" fontId="48" fillId="2" borderId="18" xfId="0" applyNumberFormat="1" applyFont="1" applyFill="1" applyBorder="1" applyAlignment="1">
      <alignment horizontal="center" vertical="center" wrapText="1"/>
    </xf>
    <xf numFmtId="0" fontId="48" fillId="2" borderId="21" xfId="0" applyFont="1" applyFill="1" applyBorder="1" applyAlignment="1">
      <alignment horizontal="center" vertical="center" wrapText="1"/>
    </xf>
    <xf numFmtId="0" fontId="49" fillId="2" borderId="21" xfId="0" applyFont="1" applyFill="1" applyBorder="1" applyAlignment="1">
      <alignment vertical="center" wrapText="1"/>
    </xf>
    <xf numFmtId="0" fontId="45" fillId="2" borderId="18" xfId="0" applyFont="1" applyFill="1" applyBorder="1" applyAlignment="1">
      <alignment vertical="center" wrapText="1"/>
    </xf>
    <xf numFmtId="0" fontId="5" fillId="26" borderId="31" xfId="0" applyFont="1" applyFill="1" applyBorder="1" applyAlignment="1">
      <alignment vertical="center" wrapText="1"/>
    </xf>
    <xf numFmtId="0" fontId="51" fillId="26" borderId="1" xfId="0" applyFont="1" applyFill="1" applyBorder="1" applyAlignment="1">
      <alignment vertical="center" wrapText="1"/>
    </xf>
    <xf numFmtId="0" fontId="51" fillId="26" borderId="29" xfId="0" applyFont="1" applyFill="1" applyBorder="1" applyAlignment="1">
      <alignment vertical="center" wrapText="1"/>
    </xf>
    <xf numFmtId="0" fontId="44" fillId="2" borderId="31" xfId="0" applyFont="1" applyFill="1" applyBorder="1" applyAlignment="1">
      <alignment horizontal="left" vertical="center" wrapText="1"/>
    </xf>
    <xf numFmtId="172" fontId="46" fillId="2" borderId="18" xfId="0" applyNumberFormat="1" applyFont="1" applyFill="1" applyBorder="1" applyAlignment="1">
      <alignment horizontal="center" vertical="center" wrapText="1"/>
    </xf>
    <xf numFmtId="171" fontId="46" fillId="2" borderId="18" xfId="0" applyNumberFormat="1" applyFont="1" applyFill="1" applyBorder="1" applyAlignment="1">
      <alignment horizontal="center" vertical="center" wrapText="1"/>
    </xf>
    <xf numFmtId="0" fontId="47" fillId="2" borderId="18" xfId="35" applyFont="1" applyFill="1" applyBorder="1" applyAlignment="1" applyProtection="1">
      <alignment horizontal="center" vertical="top" wrapText="1"/>
      <protection locked="0"/>
    </xf>
    <xf numFmtId="49" fontId="47" fillId="2" borderId="18" xfId="35" applyNumberFormat="1" applyFont="1" applyFill="1" applyBorder="1" applyAlignment="1" applyProtection="1">
      <alignment horizontal="center" vertical="top" wrapText="1"/>
      <protection locked="0"/>
    </xf>
    <xf numFmtId="0" fontId="47" fillId="2" borderId="18" xfId="41" applyNumberFormat="1" applyFont="1" applyFill="1" applyBorder="1" applyAlignment="1" applyProtection="1">
      <alignment horizontal="center" vertical="top" wrapText="1"/>
      <protection locked="0"/>
    </xf>
    <xf numFmtId="0" fontId="47" fillId="2" borderId="18" xfId="42" applyNumberFormat="1" applyFont="1" applyFill="1" applyBorder="1" applyAlignment="1">
      <alignment horizontal="center" vertical="top" wrapText="1"/>
    </xf>
    <xf numFmtId="0" fontId="52" fillId="26" borderId="18" xfId="0" applyFont="1" applyFill="1" applyBorder="1" applyAlignment="1">
      <alignment horizontal="left" vertical="center" wrapText="1"/>
    </xf>
    <xf numFmtId="172" fontId="53" fillId="27" borderId="18" xfId="0" applyNumberFormat="1" applyFont="1" applyFill="1" applyBorder="1" applyAlignment="1">
      <alignment horizontal="center" vertical="center" wrapText="1"/>
    </xf>
    <xf numFmtId="171" fontId="53" fillId="27" borderId="18" xfId="0" applyNumberFormat="1" applyFont="1" applyFill="1" applyBorder="1" applyAlignment="1">
      <alignment horizontal="center" vertical="center" wrapText="1"/>
    </xf>
    <xf numFmtId="0" fontId="45" fillId="2" borderId="18" xfId="43" applyFont="1" applyFill="1" applyBorder="1" applyAlignment="1" applyProtection="1">
      <alignment horizontal="center" vertical="center" wrapText="1"/>
      <protection locked="0"/>
    </xf>
    <xf numFmtId="0" fontId="45" fillId="2" borderId="18" xfId="43" applyFont="1" applyFill="1" applyBorder="1" applyAlignment="1" applyProtection="1">
      <alignment horizontal="center" vertical="top" wrapText="1"/>
      <protection locked="0"/>
    </xf>
    <xf numFmtId="171" fontId="45" fillId="2" borderId="18" xfId="43" applyNumberFormat="1" applyFont="1" applyFill="1" applyBorder="1" applyAlignment="1" applyProtection="1">
      <alignment horizontal="center" vertical="top" wrapText="1"/>
      <protection locked="0"/>
    </xf>
    <xf numFmtId="0" fontId="45" fillId="2" borderId="18" xfId="0" applyFont="1" applyFill="1" applyBorder="1" applyAlignment="1">
      <alignment horizontal="center" vertical="center" wrapText="1"/>
    </xf>
    <xf numFmtId="0" fontId="55" fillId="24" borderId="19" xfId="0" applyFont="1" applyFill="1" applyBorder="1" applyAlignment="1">
      <alignment vertical="center" wrapText="1"/>
    </xf>
    <xf numFmtId="0" fontId="14" fillId="0" borderId="0" xfId="48">
      <alignment vertical="center"/>
    </xf>
    <xf numFmtId="0" fontId="56" fillId="0" borderId="13" xfId="48" applyFont="1" applyBorder="1" applyAlignment="1">
      <alignment horizontal="center" vertical="center" wrapText="1"/>
    </xf>
    <xf numFmtId="49" fontId="59" fillId="0" borderId="46" xfId="48" applyNumberFormat="1" applyFont="1" applyBorder="1" applyAlignment="1">
      <alignment vertical="center" wrapText="1"/>
    </xf>
    <xf numFmtId="3" fontId="59" fillId="0" borderId="47" xfId="48" applyNumberFormat="1" applyFont="1" applyBorder="1" applyAlignment="1">
      <alignment vertical="center" wrapText="1"/>
    </xf>
    <xf numFmtId="49" fontId="57" fillId="0" borderId="46" xfId="48" applyNumberFormat="1" applyFont="1" applyBorder="1" applyAlignment="1">
      <alignment vertical="center" wrapText="1"/>
    </xf>
    <xf numFmtId="3" fontId="57" fillId="0" borderId="38" xfId="48" applyNumberFormat="1" applyFont="1" applyBorder="1" applyAlignment="1">
      <alignment vertical="center" wrapText="1"/>
    </xf>
    <xf numFmtId="3" fontId="57" fillId="0" borderId="48" xfId="48" applyNumberFormat="1" applyFont="1" applyBorder="1" applyAlignment="1">
      <alignment vertical="center" wrapText="1"/>
    </xf>
    <xf numFmtId="3" fontId="57" fillId="0" borderId="47" xfId="48" applyNumberFormat="1" applyFont="1" applyBorder="1" applyAlignment="1">
      <alignment vertical="center" wrapText="1"/>
    </xf>
    <xf numFmtId="14" fontId="60" fillId="25" borderId="2" xfId="48" applyNumberFormat="1" applyFont="1" applyFill="1" applyBorder="1" applyAlignment="1">
      <alignment horizontal="left" vertical="center"/>
    </xf>
    <xf numFmtId="0" fontId="14" fillId="0" borderId="56" xfId="48" applyBorder="1" applyAlignment="1"/>
    <xf numFmtId="14" fontId="60" fillId="25" borderId="7" xfId="48" applyNumberFormat="1" applyFont="1" applyFill="1" applyBorder="1" applyAlignment="1">
      <alignment horizontal="left" vertical="center"/>
    </xf>
    <xf numFmtId="14" fontId="60" fillId="25" borderId="10" xfId="48" applyNumberFormat="1" applyFont="1" applyFill="1" applyBorder="1" applyAlignment="1">
      <alignment horizontal="left" vertical="center"/>
    </xf>
    <xf numFmtId="0" fontId="14" fillId="0" borderId="60" xfId="48" applyBorder="1" applyAlignment="1"/>
    <xf numFmtId="14" fontId="60" fillId="25" borderId="3" xfId="48" applyNumberFormat="1" applyFont="1" applyFill="1" applyBorder="1" applyAlignment="1">
      <alignment horizontal="left" vertical="center"/>
    </xf>
    <xf numFmtId="14" fontId="60" fillId="25" borderId="10" xfId="48" applyNumberFormat="1" applyFont="1" applyFill="1" applyBorder="1" applyAlignment="1">
      <alignment horizontal="left" vertical="center" wrapText="1"/>
    </xf>
    <xf numFmtId="14" fontId="60" fillId="25" borderId="0" xfId="48" applyNumberFormat="1" applyFont="1" applyFill="1" applyAlignment="1">
      <alignment horizontal="left" vertical="center"/>
    </xf>
    <xf numFmtId="14" fontId="60" fillId="25" borderId="4" xfId="48" applyNumberFormat="1" applyFont="1" applyFill="1" applyBorder="1" applyAlignment="1">
      <alignment horizontal="left" vertical="center"/>
    </xf>
    <xf numFmtId="14" fontId="60" fillId="25" borderId="3" xfId="48" applyNumberFormat="1" applyFont="1" applyFill="1" applyBorder="1" applyAlignment="1">
      <alignment horizontal="left" vertical="center" wrapText="1"/>
    </xf>
    <xf numFmtId="0" fontId="14" fillId="0" borderId="4" xfId="48" applyBorder="1" applyAlignment="1"/>
    <xf numFmtId="0" fontId="19" fillId="0" borderId="9" xfId="48" applyFont="1" applyBorder="1">
      <alignment vertical="center"/>
    </xf>
    <xf numFmtId="0" fontId="19" fillId="0" borderId="5" xfId="48" applyFont="1" applyBorder="1">
      <alignment vertical="center"/>
    </xf>
    <xf numFmtId="0" fontId="19" fillId="0" borderId="6" xfId="48" applyFont="1" applyBorder="1">
      <alignment vertical="center"/>
    </xf>
    <xf numFmtId="0" fontId="19" fillId="0" borderId="8" xfId="48" applyFont="1" applyBorder="1">
      <alignment vertical="center"/>
    </xf>
    <xf numFmtId="0" fontId="15" fillId="0" borderId="11" xfId="48" applyFont="1" applyBorder="1" applyAlignment="1">
      <alignment horizontal="center" vertical="center"/>
    </xf>
    <xf numFmtId="0" fontId="18" fillId="0" borderId="21" xfId="48" applyFont="1" applyBorder="1">
      <alignment vertical="center"/>
    </xf>
    <xf numFmtId="0" fontId="65" fillId="0" borderId="0" xfId="48" applyFont="1" applyAlignment="1">
      <alignment horizontal="left"/>
    </xf>
    <xf numFmtId="0" fontId="66" fillId="0" borderId="61" xfId="48" applyFont="1" applyBorder="1" applyAlignment="1">
      <alignment horizontal="left"/>
    </xf>
    <xf numFmtId="0" fontId="66" fillId="0" borderId="65" xfId="48" applyFont="1" applyBorder="1" applyAlignment="1">
      <alignment horizontal="left"/>
    </xf>
    <xf numFmtId="0" fontId="66" fillId="0" borderId="0" xfId="48" applyFont="1" applyAlignment="1">
      <alignment horizontal="left"/>
    </xf>
    <xf numFmtId="0" fontId="66" fillId="0" borderId="39" xfId="48" applyFont="1" applyBorder="1" applyAlignment="1">
      <alignment horizontal="left"/>
    </xf>
    <xf numFmtId="0" fontId="19" fillId="0" borderId="0" xfId="48" applyFont="1" applyAlignment="1"/>
    <xf numFmtId="0" fontId="65" fillId="0" borderId="40" xfId="48" applyFont="1" applyBorder="1" applyAlignment="1">
      <alignment horizontal="left" vertical="center"/>
    </xf>
    <xf numFmtId="0" fontId="65" fillId="0" borderId="63" xfId="48" applyFont="1" applyBorder="1" applyAlignment="1">
      <alignment horizontal="left" vertical="center"/>
    </xf>
    <xf numFmtId="0" fontId="65" fillId="0" borderId="41" xfId="48" applyFont="1" applyBorder="1" applyAlignment="1">
      <alignment horizontal="left" vertical="center"/>
    </xf>
    <xf numFmtId="0" fontId="11" fillId="2" borderId="0" xfId="0" applyFont="1" applyFill="1" applyAlignment="1">
      <alignment vertical="center" wrapText="1"/>
    </xf>
    <xf numFmtId="0" fontId="67" fillId="28" borderId="0" xfId="0" applyFont="1" applyFill="1" applyAlignment="1">
      <alignment horizontal="center" vertical="center" wrapText="1"/>
    </xf>
    <xf numFmtId="0" fontId="67" fillId="0" borderId="0" xfId="0" applyFont="1" applyAlignment="1">
      <alignment horizontal="center" vertical="center" wrapText="1"/>
    </xf>
    <xf numFmtId="169" fontId="67" fillId="0" borderId="0" xfId="0" applyNumberFormat="1" applyFont="1" applyAlignment="1">
      <alignment horizontal="center" vertical="center" wrapText="1"/>
    </xf>
    <xf numFmtId="0" fontId="15" fillId="29" borderId="32" xfId="48" applyFont="1" applyFill="1" applyBorder="1" applyAlignment="1">
      <alignment horizontal="center" vertical="center" wrapText="1"/>
    </xf>
    <xf numFmtId="0" fontId="14" fillId="0" borderId="33" xfId="48" applyBorder="1" applyAlignment="1"/>
    <xf numFmtId="0" fontId="14" fillId="0" borderId="34" xfId="48" applyBorder="1" applyAlignment="1"/>
    <xf numFmtId="0" fontId="15" fillId="29" borderId="35" xfId="48" applyFont="1" applyFill="1" applyBorder="1" applyAlignment="1">
      <alignment horizontal="left" vertical="center" wrapText="1"/>
    </xf>
    <xf numFmtId="0" fontId="14" fillId="0" borderId="25" xfId="48" applyBorder="1" applyAlignment="1"/>
    <xf numFmtId="0" fontId="15" fillId="29" borderId="21" xfId="48" applyFont="1" applyFill="1" applyBorder="1" applyAlignment="1">
      <alignment horizontal="center" vertical="center" wrapText="1"/>
    </xf>
    <xf numFmtId="0" fontId="14" fillId="0" borderId="23" xfId="48" applyBorder="1" applyAlignment="1"/>
    <xf numFmtId="173" fontId="44" fillId="0" borderId="21" xfId="48" applyNumberFormat="1" applyFont="1" applyBorder="1" applyAlignment="1">
      <alignment horizontal="center" vertical="center" wrapText="1"/>
    </xf>
    <xf numFmtId="0" fontId="14" fillId="0" borderId="36" xfId="48" applyBorder="1" applyAlignment="1"/>
    <xf numFmtId="0" fontId="15" fillId="0" borderId="37" xfId="48" applyFont="1" applyBorder="1" applyAlignment="1">
      <alignment horizontal="center" wrapText="1"/>
    </xf>
    <xf numFmtId="0" fontId="14" fillId="0" borderId="38" xfId="48" applyBorder="1" applyAlignment="1"/>
    <xf numFmtId="0" fontId="14" fillId="0" borderId="24" xfId="48" applyBorder="1" applyAlignment="1"/>
    <xf numFmtId="0" fontId="14" fillId="0" borderId="39" xfId="48" applyBorder="1" applyAlignment="1"/>
    <xf numFmtId="0" fontId="14" fillId="0" borderId="40" xfId="48" applyBorder="1" applyAlignment="1"/>
    <xf numFmtId="0" fontId="14" fillId="0" borderId="41" xfId="48" applyBorder="1" applyAlignment="1"/>
    <xf numFmtId="0" fontId="14" fillId="0" borderId="16" xfId="48" applyBorder="1" applyAlignment="1">
      <alignment horizontal="center" vertical="center" wrapText="1"/>
    </xf>
    <xf numFmtId="0" fontId="14" fillId="0" borderId="22" xfId="48" applyBorder="1" applyAlignment="1"/>
    <xf numFmtId="0" fontId="57" fillId="30" borderId="37" xfId="48" applyFont="1" applyFill="1" applyBorder="1" applyAlignment="1">
      <alignment horizontal="center" vertical="center" wrapText="1"/>
    </xf>
    <xf numFmtId="0" fontId="57" fillId="30" borderId="42" xfId="48" applyFont="1" applyFill="1" applyBorder="1" applyAlignment="1">
      <alignment horizontal="center" vertical="center" wrapText="1"/>
    </xf>
    <xf numFmtId="49" fontId="58" fillId="0" borderId="43" xfId="48" applyNumberFormat="1" applyFont="1" applyBorder="1" applyAlignment="1">
      <alignment horizontal="left" vertical="center" wrapText="1"/>
    </xf>
    <xf numFmtId="49" fontId="58" fillId="0" borderId="44" xfId="48" applyNumberFormat="1" applyFont="1" applyBorder="1" applyAlignment="1">
      <alignment horizontal="left" vertical="center" wrapText="1"/>
    </xf>
    <xf numFmtId="49" fontId="58" fillId="0" borderId="45" xfId="48" applyNumberFormat="1" applyFont="1" applyBorder="1" applyAlignment="1">
      <alignment horizontal="left" vertical="center" wrapText="1"/>
    </xf>
    <xf numFmtId="49" fontId="60" fillId="0" borderId="43" xfId="48" applyNumberFormat="1" applyFont="1" applyBorder="1" applyAlignment="1">
      <alignment horizontal="left" vertical="center" wrapText="1"/>
    </xf>
    <xf numFmtId="49" fontId="60" fillId="0" borderId="44" xfId="48" applyNumberFormat="1" applyFont="1" applyBorder="1" applyAlignment="1">
      <alignment horizontal="left" vertical="center" wrapText="1"/>
    </xf>
    <xf numFmtId="49" fontId="60" fillId="0" borderId="45" xfId="48" applyNumberFormat="1" applyFont="1" applyBorder="1" applyAlignment="1">
      <alignment horizontal="left" vertical="center" wrapText="1"/>
    </xf>
    <xf numFmtId="0" fontId="16" fillId="0" borderId="43" xfId="48" applyFont="1" applyBorder="1" applyAlignment="1">
      <alignment horizontal="left" vertical="center" wrapText="1"/>
    </xf>
    <xf numFmtId="0" fontId="16" fillId="0" borderId="44" xfId="48" applyFont="1" applyBorder="1" applyAlignment="1">
      <alignment horizontal="left" vertical="center" wrapText="1"/>
    </xf>
    <xf numFmtId="0" fontId="16" fillId="0" borderId="45" xfId="48" applyFont="1" applyBorder="1" applyAlignment="1">
      <alignment horizontal="left" vertical="center" wrapText="1"/>
    </xf>
    <xf numFmtId="49" fontId="60" fillId="0" borderId="43" xfId="48" quotePrefix="1" applyNumberFormat="1" applyFont="1" applyBorder="1" applyAlignment="1">
      <alignment horizontal="left" vertical="center" wrapText="1"/>
    </xf>
    <xf numFmtId="0" fontId="14" fillId="0" borderId="44" xfId="48" applyBorder="1" applyAlignment="1">
      <alignment horizontal="left"/>
    </xf>
    <xf numFmtId="0" fontId="14" fillId="0" borderId="45" xfId="48" applyBorder="1" applyAlignment="1">
      <alignment horizontal="left"/>
    </xf>
    <xf numFmtId="49" fontId="57" fillId="0" borderId="43" xfId="48" applyNumberFormat="1" applyFont="1" applyBorder="1" applyAlignment="1">
      <alignment horizontal="center" vertical="center" wrapText="1"/>
    </xf>
    <xf numFmtId="0" fontId="14" fillId="0" borderId="44" xfId="48" applyBorder="1" applyAlignment="1"/>
    <xf numFmtId="0" fontId="14" fillId="0" borderId="45" xfId="48" applyBorder="1" applyAlignment="1"/>
    <xf numFmtId="0" fontId="3" fillId="0" borderId="43" xfId="48" quotePrefix="1" applyFont="1" applyBorder="1" applyAlignment="1">
      <alignment horizontal="center" wrapText="1"/>
    </xf>
    <xf numFmtId="49" fontId="57" fillId="0" borderId="44" xfId="48" applyNumberFormat="1" applyFont="1" applyBorder="1" applyAlignment="1">
      <alignment horizontal="center" vertical="center" wrapText="1"/>
    </xf>
    <xf numFmtId="49" fontId="57" fillId="0" borderId="45" xfId="48" applyNumberFormat="1" applyFont="1" applyBorder="1" applyAlignment="1">
      <alignment horizontal="center" vertical="center" wrapText="1"/>
    </xf>
    <xf numFmtId="0" fontId="57" fillId="29" borderId="49" xfId="48" applyFont="1" applyFill="1" applyBorder="1" applyAlignment="1">
      <alignment vertical="center" wrapText="1"/>
    </xf>
    <xf numFmtId="0" fontId="14" fillId="0" borderId="49" xfId="48" applyBorder="1" applyAlignment="1"/>
    <xf numFmtId="0" fontId="14" fillId="0" borderId="27" xfId="48" applyBorder="1" applyAlignment="1"/>
    <xf numFmtId="3" fontId="57" fillId="0" borderId="37" xfId="48" applyNumberFormat="1" applyFont="1" applyBorder="1" applyAlignment="1">
      <alignment horizontal="center" vertical="center" wrapText="1"/>
    </xf>
    <xf numFmtId="0" fontId="14" fillId="0" borderId="42" xfId="48" applyBorder="1" applyAlignment="1"/>
    <xf numFmtId="0" fontId="14" fillId="0" borderId="51" xfId="48" applyBorder="1" applyAlignment="1"/>
    <xf numFmtId="0" fontId="14" fillId="0" borderId="30" xfId="48" applyBorder="1" applyAlignment="1"/>
    <xf numFmtId="0" fontId="57" fillId="29" borderId="50" xfId="48" applyFont="1" applyFill="1" applyBorder="1" applyAlignment="1">
      <alignment horizontal="center" vertical="center" wrapText="1"/>
    </xf>
    <xf numFmtId="0" fontId="14" fillId="0" borderId="26" xfId="48" applyBorder="1" applyAlignment="1"/>
    <xf numFmtId="0" fontId="18" fillId="0" borderId="50" xfId="48" applyFont="1" applyBorder="1" applyAlignment="1">
      <alignment horizontal="center" vertical="center" wrapText="1"/>
    </xf>
    <xf numFmtId="0" fontId="14" fillId="0" borderId="49" xfId="48" applyBorder="1">
      <alignment vertical="center"/>
    </xf>
    <xf numFmtId="0" fontId="14" fillId="0" borderId="38" xfId="48" applyBorder="1">
      <alignment vertical="center"/>
    </xf>
    <xf numFmtId="0" fontId="14" fillId="0" borderId="26" xfId="48" applyBorder="1">
      <alignment vertical="center"/>
    </xf>
    <xf numFmtId="0" fontId="14" fillId="0" borderId="27" xfId="48" applyBorder="1">
      <alignment vertical="center"/>
    </xf>
    <xf numFmtId="0" fontId="14" fillId="0" borderId="52" xfId="48" applyBorder="1">
      <alignment vertical="center"/>
    </xf>
    <xf numFmtId="0" fontId="57" fillId="31" borderId="37" xfId="48" applyFont="1" applyFill="1" applyBorder="1" applyAlignment="1">
      <alignment horizontal="center" vertical="center"/>
    </xf>
    <xf numFmtId="0" fontId="57" fillId="31" borderId="53" xfId="48" applyFont="1" applyFill="1" applyBorder="1" applyAlignment="1">
      <alignment horizontal="center" vertical="center"/>
    </xf>
    <xf numFmtId="0" fontId="57" fillId="31" borderId="54" xfId="48" applyFont="1" applyFill="1" applyBorder="1" applyAlignment="1">
      <alignment horizontal="center" vertical="center"/>
    </xf>
    <xf numFmtId="0" fontId="57" fillId="31" borderId="38" xfId="48" applyFont="1" applyFill="1" applyBorder="1" applyAlignment="1">
      <alignment horizontal="center" vertical="center"/>
    </xf>
    <xf numFmtId="0" fontId="57" fillId="31" borderId="24" xfId="48" applyFont="1" applyFill="1" applyBorder="1" applyAlignment="1">
      <alignment horizontal="center" vertical="center"/>
    </xf>
    <xf numFmtId="0" fontId="57" fillId="31" borderId="39" xfId="48" applyFont="1" applyFill="1" applyBorder="1" applyAlignment="1">
      <alignment horizontal="center" vertical="center"/>
    </xf>
    <xf numFmtId="0" fontId="14" fillId="0" borderId="0" xfId="48" applyAlignment="1"/>
    <xf numFmtId="0" fontId="15" fillId="0" borderId="16" xfId="48" applyFont="1" applyBorder="1" applyAlignment="1">
      <alignment horizontal="right" vertical="center" wrapText="1"/>
    </xf>
    <xf numFmtId="49" fontId="62" fillId="0" borderId="22" xfId="48" applyNumberFormat="1" applyFont="1" applyBorder="1" applyAlignment="1">
      <alignment horizontal="center" vertical="center" wrapText="1"/>
    </xf>
    <xf numFmtId="0" fontId="15" fillId="25" borderId="55" xfId="48" applyFont="1" applyFill="1" applyBorder="1" applyAlignment="1">
      <alignment horizontal="left" vertical="center"/>
    </xf>
    <xf numFmtId="0" fontId="14" fillId="0" borderId="56" xfId="48" applyBorder="1" applyAlignment="1"/>
    <xf numFmtId="14" fontId="15" fillId="25" borderId="57" xfId="48" applyNumberFormat="1" applyFont="1" applyFill="1" applyBorder="1" applyAlignment="1">
      <alignment horizontal="left" vertical="center"/>
    </xf>
    <xf numFmtId="0" fontId="14" fillId="0" borderId="58" xfId="48" applyBorder="1" applyAlignment="1"/>
    <xf numFmtId="14" fontId="15" fillId="25" borderId="59" xfId="48" applyNumberFormat="1" applyFont="1" applyFill="1" applyBorder="1" applyAlignment="1">
      <alignment horizontal="left" vertical="center"/>
    </xf>
    <xf numFmtId="0" fontId="14" fillId="0" borderId="60" xfId="48" applyBorder="1" applyAlignment="1"/>
    <xf numFmtId="14" fontId="60" fillId="25" borderId="61" xfId="48" applyNumberFormat="1" applyFont="1" applyFill="1" applyBorder="1" applyAlignment="1">
      <alignment horizontal="left" vertical="center"/>
    </xf>
    <xf numFmtId="0" fontId="14" fillId="0" borderId="62" xfId="48" applyBorder="1" applyAlignment="1"/>
    <xf numFmtId="0" fontId="61" fillId="31" borderId="24" xfId="48" applyFont="1" applyFill="1" applyBorder="1" applyAlignment="1">
      <alignment horizontal="center" vertical="center"/>
    </xf>
    <xf numFmtId="0" fontId="14" fillId="0" borderId="63" xfId="48" applyBorder="1" applyAlignment="1"/>
    <xf numFmtId="0" fontId="15" fillId="0" borderId="16" xfId="48" applyFont="1" applyBorder="1" applyAlignment="1">
      <alignment horizontal="right" vertical="center"/>
    </xf>
    <xf numFmtId="174" fontId="62" fillId="0" borderId="33" xfId="48" applyNumberFormat="1" applyFont="1" applyBorder="1" applyAlignment="1">
      <alignment horizontal="center"/>
    </xf>
    <xf numFmtId="0" fontId="14" fillId="0" borderId="64" xfId="48" applyBorder="1" applyAlignment="1"/>
    <xf numFmtId="14" fontId="62" fillId="0" borderId="22" xfId="48" applyNumberFormat="1" applyFont="1" applyBorder="1" applyAlignment="1">
      <alignment horizontal="center"/>
    </xf>
    <xf numFmtId="0" fontId="62" fillId="0" borderId="22" xfId="48" applyFont="1" applyBorder="1" applyAlignment="1">
      <alignment horizontal="center" vertical="center"/>
    </xf>
    <xf numFmtId="0" fontId="15" fillId="0" borderId="22" xfId="48" applyFont="1" applyBorder="1" applyAlignment="1">
      <alignment horizontal="center" vertical="center"/>
    </xf>
    <xf numFmtId="0" fontId="63" fillId="0" borderId="22" xfId="48" applyFont="1" applyBorder="1" applyAlignment="1">
      <alignment horizontal="center" vertical="center"/>
    </xf>
    <xf numFmtId="0" fontId="15" fillId="0" borderId="35" xfId="48" applyFont="1" applyBorder="1" applyAlignment="1">
      <alignment horizontal="right" vertical="center"/>
    </xf>
    <xf numFmtId="0" fontId="14" fillId="0" borderId="15" xfId="48" applyBorder="1" applyAlignment="1"/>
    <xf numFmtId="0" fontId="16" fillId="0" borderId="0" xfId="48" applyFont="1" applyAlignment="1"/>
    <xf numFmtId="0" fontId="64" fillId="0" borderId="15" xfId="48" applyFont="1" applyBorder="1" applyAlignment="1">
      <alignment horizontal="center"/>
    </xf>
    <xf numFmtId="0" fontId="14" fillId="0" borderId="20" xfId="48" applyBorder="1" applyAlignment="1"/>
    <xf numFmtId="0" fontId="17" fillId="15" borderId="15" xfId="0" applyFont="1" applyFill="1" applyBorder="1" applyAlignment="1">
      <alignment horizontal="center" vertical="center" wrapText="1"/>
    </xf>
    <xf numFmtId="0" fontId="18" fillId="0" borderId="15" xfId="0" applyFont="1" applyBorder="1" applyAlignment="1">
      <alignment horizontal="center" vertical="center" wrapText="1"/>
    </xf>
    <xf numFmtId="0" fontId="18" fillId="0" borderId="0" xfId="0" applyFont="1" applyAlignment="1">
      <alignment horizontal="center" vertical="center" wrapText="1"/>
    </xf>
    <xf numFmtId="0" fontId="25" fillId="0" borderId="18" xfId="0" applyFont="1" applyBorder="1" applyAlignment="1">
      <alignment horizontal="center" vertical="center" wrapText="1"/>
    </xf>
    <xf numFmtId="0" fontId="21" fillId="0" borderId="18" xfId="0" applyFont="1" applyBorder="1" applyAlignment="1">
      <alignment horizontal="center" vertical="center" wrapText="1"/>
    </xf>
  </cellXfs>
  <cellStyles count="49">
    <cellStyle name="Comma [0] 2" xfId="45" xr:uid="{103F7D6E-BE5D-45BB-9811-7AF4BCE8E673}"/>
    <cellStyle name="Comma 2" xfId="4" xr:uid="{00000000-0005-0000-0000-000000000000}"/>
    <cellStyle name="Comma 2 2" xfId="32" xr:uid="{00000000-0005-0000-0000-000001000000}"/>
    <cellStyle name="Comma 22" xfId="11" xr:uid="{00000000-0005-0000-0000-000002000000}"/>
    <cellStyle name="Comma 3" xfId="10" xr:uid="{00000000-0005-0000-0000-000003000000}"/>
    <cellStyle name="Comma 3 2" xfId="44" xr:uid="{A682D0D7-BCAE-4EDE-B02D-3D8122E7207D}"/>
    <cellStyle name="Comma 4" xfId="38" xr:uid="{00000000-0005-0000-0000-000004000000}"/>
    <cellStyle name="Comma 7" xfId="12" xr:uid="{00000000-0005-0000-0000-000005000000}"/>
    <cellStyle name="Currency 13" xfId="14" xr:uid="{00000000-0005-0000-0000-000007000000}"/>
    <cellStyle name="Currency 2" xfId="6" xr:uid="{00000000-0005-0000-0000-000008000000}"/>
    <cellStyle name="Currency 2 2" xfId="15" xr:uid="{00000000-0005-0000-0000-000009000000}"/>
    <cellStyle name="Currency 2 3" xfId="42" xr:uid="{EBD57BDC-91B1-496D-8E9B-9A5BC043BC2D}"/>
    <cellStyle name="Currency 3" xfId="28" xr:uid="{00000000-0005-0000-0000-00000A000000}"/>
    <cellStyle name="Currency 4" xfId="13" xr:uid="{00000000-0005-0000-0000-00000B000000}"/>
    <cellStyle name="Currency 5" xfId="5" xr:uid="{00000000-0005-0000-0000-00000C000000}"/>
    <cellStyle name="Currency 6" xfId="37" xr:uid="{00000000-0005-0000-0000-00000D000000}"/>
    <cellStyle name="Currency 7" xfId="47" xr:uid="{11B5C305-E6CD-49E0-9928-C264C6B19694}"/>
    <cellStyle name="Milliers [0]" xfId="40" builtinId="6"/>
    <cellStyle name="Monétaire" xfId="1" builtinId="4"/>
    <cellStyle name="Normal" xfId="0" builtinId="0"/>
    <cellStyle name="Normal 11" xfId="16" xr:uid="{00000000-0005-0000-0000-00000F000000}"/>
    <cellStyle name="Normal 2" xfId="7" xr:uid="{00000000-0005-0000-0000-000010000000}"/>
    <cellStyle name="Normal 2 2" xfId="26" xr:uid="{00000000-0005-0000-0000-000011000000}"/>
    <cellStyle name="Normal 2 3" xfId="17" xr:uid="{00000000-0005-0000-0000-000012000000}"/>
    <cellStyle name="Normal 2 3 2" xfId="33" xr:uid="{00000000-0005-0000-0000-000013000000}"/>
    <cellStyle name="Normal 2 3 4 2" xfId="43" xr:uid="{C4179CE2-C65D-4A94-A266-9617E8E8FC6D}"/>
    <cellStyle name="Normal 2 4" xfId="30" xr:uid="{00000000-0005-0000-0000-000014000000}"/>
    <cellStyle name="Normal 2 5" xfId="39" xr:uid="{0A890FF4-CE55-4647-8590-894B044D3DC3}"/>
    <cellStyle name="Normal 3" xfId="18" xr:uid="{00000000-0005-0000-0000-000015000000}"/>
    <cellStyle name="Normal 3 2" xfId="31" xr:uid="{00000000-0005-0000-0000-000016000000}"/>
    <cellStyle name="Normal 3 3" xfId="35" xr:uid="{00000000-0005-0000-0000-000017000000}"/>
    <cellStyle name="Normal 4" xfId="19" xr:uid="{00000000-0005-0000-0000-000018000000}"/>
    <cellStyle name="Normal 4 2" xfId="48" xr:uid="{E130A9BC-9833-48E6-B6CD-C0C563F0E430}"/>
    <cellStyle name="Normal 5" xfId="2" xr:uid="{00000000-0005-0000-0000-000019000000}"/>
    <cellStyle name="Normal 5 2" xfId="25" xr:uid="{00000000-0005-0000-0000-00001A000000}"/>
    <cellStyle name="Normal 5 3" xfId="46" xr:uid="{67F9CB3E-E01B-4979-998A-A1BA2D0B63F1}"/>
    <cellStyle name="Normal 6" xfId="9" xr:uid="{00000000-0005-0000-0000-00001B000000}"/>
    <cellStyle name="Normal 61 2" xfId="20" xr:uid="{00000000-0005-0000-0000-00001C000000}"/>
    <cellStyle name="Normal 7" xfId="29" xr:uid="{00000000-0005-0000-0000-00001D000000}"/>
    <cellStyle name="Normal 7 2" xfId="21" xr:uid="{00000000-0005-0000-0000-00001E000000}"/>
    <cellStyle name="Normal 8" xfId="3" xr:uid="{00000000-0005-0000-0000-00001F000000}"/>
    <cellStyle name="Normal 9" xfId="34" xr:uid="{00000000-0005-0000-0000-000020000000}"/>
    <cellStyle name="Percent 2" xfId="22" xr:uid="{00000000-0005-0000-0000-000021000000}"/>
    <cellStyle name="Percent 2 3" xfId="41" xr:uid="{D7F0002A-1B1F-46A7-B291-3A83C8CDE314}"/>
    <cellStyle name="Percent 3" xfId="23" xr:uid="{00000000-0005-0000-0000-000022000000}"/>
    <cellStyle name="Percent 4" xfId="8" xr:uid="{00000000-0005-0000-0000-000023000000}"/>
    <cellStyle name="Percent 4 2" xfId="24" xr:uid="{00000000-0005-0000-0000-000024000000}"/>
    <cellStyle name="Percent 5" xfId="27" xr:uid="{00000000-0005-0000-0000-000025000000}"/>
    <cellStyle name="Percent 6" xfId="36" xr:uid="{00000000-0005-0000-0000-000026000000}"/>
  </cellStyles>
  <dxfs count="6">
    <dxf>
      <font>
        <b/>
      </font>
      <fill>
        <patternFill patternType="solid">
          <fgColor rgb="FF00B050"/>
          <bgColor rgb="FF00B050"/>
        </patternFill>
      </fill>
      <border>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Arial Narrow"/>
        <family val="2"/>
        <scheme val="none"/>
      </font>
      <fill>
        <patternFill patternType="solid">
          <fgColor rgb="FF8EAADB"/>
          <bgColor theme="0"/>
        </patternFill>
      </fill>
      <alignment horizontal="general" vertical="center" textRotation="0" wrapText="1" indent="0" justifyLastLine="0" shrinkToFit="0" readingOrder="0"/>
      <border diagonalUp="0" diagonalDown="0">
        <left style="thin">
          <color rgb="FF000000"/>
        </left>
        <right/>
        <top/>
        <bottom/>
        <vertical/>
        <horizontal/>
      </border>
    </dxf>
    <dxf>
      <font>
        <b/>
        <i val="0"/>
        <strike val="0"/>
        <condense val="0"/>
        <extend val="0"/>
        <outline val="0"/>
        <shadow val="0"/>
        <u val="none"/>
        <vertAlign val="baseline"/>
        <sz val="11"/>
        <color auto="1"/>
        <name val="Arial Narrow"/>
        <family val="2"/>
        <scheme val="none"/>
      </font>
      <fill>
        <patternFill patternType="solid">
          <fgColor rgb="FF8EAADB"/>
          <bgColor theme="0"/>
        </patternFill>
      </fill>
      <alignment horizontal="general" vertical="center" textRotation="0" wrapText="1" indent="0" justifyLastLine="0" shrinkToFit="0" readingOrder="0"/>
      <border diagonalUp="0" diagonalDown="0">
        <left style="thin">
          <color rgb="FF000000"/>
        </left>
        <right/>
        <top/>
        <bottom/>
        <vertical/>
        <horizontal/>
      </border>
    </dxf>
    <dxf>
      <font>
        <b/>
        <i val="0"/>
        <strike val="0"/>
        <condense val="0"/>
        <extend val="0"/>
        <outline val="0"/>
        <shadow val="0"/>
        <u val="none"/>
        <vertAlign val="baseline"/>
        <sz val="11"/>
        <color auto="1"/>
        <name val="Arial Narrow"/>
        <family val="2"/>
        <scheme val="none"/>
      </font>
      <fill>
        <patternFill patternType="solid">
          <fgColor rgb="FF8EAADB"/>
          <bgColor theme="0"/>
        </patternFill>
      </fill>
      <alignment horizontal="general" vertical="center" textRotation="0" wrapText="1" indent="0" justifyLastLine="0" shrinkToFit="0" readingOrder="0"/>
      <border diagonalUp="0" diagonalDown="0">
        <left style="thin">
          <color rgb="FF000000"/>
        </left>
        <right/>
        <top/>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4"/>
        <color auto="1"/>
        <name val="Calibri"/>
        <family val="2"/>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calcChain" Target="calcChain.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sharedStrings" Target="sharedStrings.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4959</xdr:rowOff>
    </xdr:from>
    <xdr:to>
      <xdr:col>2</xdr:col>
      <xdr:colOff>19844</xdr:colOff>
      <xdr:row>1</xdr:row>
      <xdr:rowOff>4960</xdr:rowOff>
    </xdr:to>
    <xdr:pic>
      <xdr:nvPicPr>
        <xdr:cNvPr id="2" name="Picture 6">
          <a:extLst>
            <a:ext uri="{FF2B5EF4-FFF2-40B4-BE49-F238E27FC236}">
              <a16:creationId xmlns:a16="http://schemas.microsoft.com/office/drawing/2014/main" id="{2125AD3D-5743-4623-A46D-3188394ED976}"/>
            </a:ext>
          </a:extLst>
        </xdr:cNvPr>
        <xdr:cNvPicPr>
          <a:picLocks noChangeAspect="1"/>
        </xdr:cNvPicPr>
      </xdr:nvPicPr>
      <xdr:blipFill>
        <a:blip xmlns:r="http://schemas.openxmlformats.org/officeDocument/2006/relationships" r:embed="rId1"/>
        <a:stretch>
          <a:fillRect/>
        </a:stretch>
      </xdr:blipFill>
      <xdr:spPr>
        <a:xfrm>
          <a:off x="0" y="4959"/>
          <a:ext cx="1477169" cy="714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IEG\Uganda%20-%20Community%20Connector\2_Cost%20Proposal\Red%20Team\ANGOLA\PROJECT\LOP\AUG00LO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ANGOLA\PROJECT\LOP\AUG00LO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favour\Downloads\Haiti%2520proposed%2520subcontract%2520budget%252002.12.15.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Haiti%20proposed%20subcontract%20budget%2002.12.1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favour\Downloads\Budgeting%2520Template%252010.6.11.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Budgeting%20Template%2010.6.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Users\fzafar\Desktop\Completed%20Proposals\Ethiopia%20READ\Submission%20Docs\Pact_Ethiopia%20READ_04NOV2013%20FZ.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3F169AB\Pact%20Budget%20for%20PSI%20KfW%20Internal%206%20June%202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favour\Downloads\Columbia%2520SwazilandCDC%25203%252029%252011%25201st%2520year.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olumbia%20SwazilandCDC%203%2029%2011%201st%20yea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favour\Downloads\Lesotho%2520TB%2520HIV%2520Y2%2520Continuation%2520Budget_4.7.10%2520tnnp"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Lesotho%20TB%20HIV%20Y2%20Continuation%20Budget_4.7.10%20tnnp"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GRMUK%20Projects\Tanzania\Tanzania%20HDIF\Financial\Forecasting\TZHDI_Forecast%20Workbook%2011%2004%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bout:blank"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vised%20Workplan%20template%20(000000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5227FC59\Copy%20of%20Copy%20of%20FY11_OH_Dept_Template%20-%20Oct%202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10CFA22D\Risk%20Assesment%20and%20need%20for%20Budget%20review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favour\Downloads\APS%2520Proposal%2520budget-Deloitte-13-6-11.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APS%20Proposal%20budget-Deloitte-13-6-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Juliana\AppData\Local\Microsoft\Windows\Temporary%20Internet%20Files\Content.Outlook\RUR8GRTK\Users\fzafar\Desktop\Tanzania\Cost\Budget\Pact_Tanzania%20CHSSP4-2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pedaidsorg-my.sharepoint.com/personal/rnjobam_pedaids_org/Documents/Njobam%202019/Recent%20Finance%20template/Updated%20Expense%20report%20%20modified14102019.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3D722DC0\KfW%20budget%202803201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964A9984\Budget%20Kenya%20Peace%20III.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13A590ED\Pact_Final%20Budget_May%2016%202013%20(2).xlsx"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Master%20Staffing%20Overview%20GEMS%20%2010.08.0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5200C994\PEACE%20III%20Budget%20Draft_12MAY2013_v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Users\lwilliams\AppData\Local\Temp\wz846a\Copy%20of%20GA019%20Advancement%20Budget%20(2).xlsx"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030403da1135BudgetModAnalysisUnlinke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Users\Juliana\AppData\Local\Microsoft\Windows\Temporary%20Internet%20Files\Content.Outlook\RUR8GRTK\International%20Finance\01%20-%20Projects\Z5117-%205G%20-%20ASF%20-%20Brazil%20EJF%20Buliding\FY2009\LOP\LOP-Z5117(5G)_009_Jun0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ocuments%20and%20Settings\getenetk\Desktop\OFDA%20Budget%204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id.grm.com.au/Project%20Management/Egypt/ACFAP/Client/Bid%20proposal%20form%205-02-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favour\Downloads\Unprogrammed%2520Funds%2520Carry-Over%2520Budget%25204%252014%25202010.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Unprogrammed%20Funds%20Carry-Over%20Budget%204%2014%20201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favour\Downloads\CDC%2520PS10-1076%2520Year%25201%2520IHVN-NCE%2520BUDGET%252028%2520%25202%252012.xlsx"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CDC%20PS10-1076%20Year%201%20IHVN-NCE%20BUDGET%2028%20%202%2012.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sers\aperez\OneDrive%20-%20Pact\Budget%20Tools\Budget%20Templates\Pact%20Internal%20Regular%20Budget%20Template_CurrentFY.XLSX"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Actual%20Expenses%20-%20Sept%207,%200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752113E\REVISED%20GA060%20Asia%20-%20Salary%20Template%20FY09%20(11.08.08).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C:\SHWARI\SITE_costed_workplan_and_Advanced_request_Jan%2025.xlsx" TargetMode="External"/><Relationship Id="rId1" Type="http://schemas.openxmlformats.org/officeDocument/2006/relationships/externalLinkPath" Target="file:///C:\SHWARI\SITE_costed_workplan_and_Advanced_request_Jan%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OP Budg vs XP"/>
      <sheetName val="DETAIL"/>
      <sheetName val="Other Angola Projects"/>
      <sheetName val="FSR Backup--Updated Quarterly"/>
      <sheetName val="Not In Use HERE FORWARD------&gt;&gt;"/>
      <sheetName val="na"/>
      <sheetName val="Bdgt-vs-XP by Yr-INTERNAL USE"/>
      <sheetName val="FY2000 LOP--INTERNAL USE"/>
      <sheetName val="AUG00LOP"/>
      <sheetName val="Sheet3"/>
      <sheetName val="11 Drop Down "/>
      <sheetName val="LOP_Budg_vs_XP"/>
      <sheetName val="Other_Angola_Projects"/>
      <sheetName val="FSR_Backup--Updated_Quarterly"/>
      <sheetName val="Not_In_Use_HERE_FORWARD------&gt;&gt;"/>
      <sheetName val="Bdgt-vs-XP_by_Yr-INTERNAL_USE"/>
      <sheetName val="FY2000_LOP--INTERNAL_USE"/>
      <sheetName val="11_Drop_Down_"/>
    </sheetNames>
    <sheetDataSet>
      <sheetData sheetId="0"/>
      <sheetData sheetId="1"/>
      <sheetData sheetId="2"/>
      <sheetData sheetId="3">
        <row r="12">
          <cell r="C12">
            <v>336243.09</v>
          </cell>
        </row>
      </sheetData>
      <sheetData sheetId="4" refreshError="1"/>
      <sheetData sheetId="5">
        <row r="12">
          <cell r="C12">
            <v>336243.09</v>
          </cell>
          <cell r="D12">
            <v>233466.5</v>
          </cell>
        </row>
        <row r="13">
          <cell r="C13">
            <v>26019.09</v>
          </cell>
          <cell r="D13">
            <v>18842.09</v>
          </cell>
        </row>
        <row r="14">
          <cell r="C14">
            <v>105100</v>
          </cell>
          <cell r="D14">
            <v>52921</v>
          </cell>
        </row>
        <row r="15">
          <cell r="C15">
            <v>90267</v>
          </cell>
          <cell r="D15">
            <v>86301.71</v>
          </cell>
        </row>
        <row r="16">
          <cell r="C16">
            <v>69569.13</v>
          </cell>
          <cell r="D16">
            <v>42265.15</v>
          </cell>
        </row>
      </sheetData>
      <sheetData sheetId="6"/>
      <sheetData sheetId="7"/>
      <sheetData sheetId="8" refreshError="1"/>
      <sheetData sheetId="9"/>
      <sheetData sheetId="10"/>
      <sheetData sheetId="11" refreshError="1"/>
      <sheetData sheetId="12"/>
      <sheetData sheetId="13"/>
      <sheetData sheetId="14"/>
      <sheetData sheetId="15">
        <row r="12">
          <cell r="C12">
            <v>336243.09</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OP Budg vs XP"/>
      <sheetName val="DETAIL"/>
      <sheetName val="Other Angola Projects"/>
      <sheetName val="FSR Backup--Updated Quarterly"/>
      <sheetName val="Not In Use HERE FORWARD------&gt;&gt;"/>
      <sheetName val="na"/>
      <sheetName val="Bdgt-vs-XP by Yr-INTERNAL USE"/>
      <sheetName val="FY2000 LOP--INTERNAL USE"/>
      <sheetName val="AUG00LOP"/>
      <sheetName val="Sheet3"/>
      <sheetName val="LOP_Budg_vs_XP"/>
      <sheetName val="Other_Angola_Projects"/>
      <sheetName val="FSR_Backup--Updated_Quarterly"/>
      <sheetName val="Not_In_Use_HERE_FORWARD------&gt;&gt;"/>
      <sheetName val="Bdgt-vs-XP_by_Yr-INTERNAL_USE"/>
      <sheetName val="FY2000_LOP--INTERNAL_USE"/>
    </sheetNames>
    <sheetDataSet>
      <sheetData sheetId="0"/>
      <sheetData sheetId="1"/>
      <sheetData sheetId="2"/>
      <sheetData sheetId="3">
        <row r="12">
          <cell r="C12">
            <v>336243.09</v>
          </cell>
        </row>
      </sheetData>
      <sheetData sheetId="4" refreshError="1"/>
      <sheetData sheetId="5">
        <row r="12">
          <cell r="C12">
            <v>336243.09</v>
          </cell>
          <cell r="D12">
            <v>233466.5</v>
          </cell>
        </row>
        <row r="13">
          <cell r="C13">
            <v>26019.09</v>
          </cell>
          <cell r="D13">
            <v>18842.09</v>
          </cell>
        </row>
        <row r="14">
          <cell r="C14">
            <v>105100</v>
          </cell>
          <cell r="D14">
            <v>52921</v>
          </cell>
        </row>
        <row r="15">
          <cell r="C15">
            <v>90267</v>
          </cell>
          <cell r="D15">
            <v>86301.71</v>
          </cell>
        </row>
        <row r="16">
          <cell r="C16">
            <v>69569.13</v>
          </cell>
          <cell r="D16">
            <v>42265.15</v>
          </cell>
        </row>
      </sheetData>
      <sheetData sheetId="6"/>
      <sheetData sheetId="7"/>
      <sheetData sheetId="8" refreshError="1"/>
      <sheetData sheetId="9"/>
      <sheetData sheetId="10"/>
      <sheetData sheetId="11"/>
      <sheetData sheetId="12"/>
      <sheetData sheetId="13"/>
      <sheetData sheetId="14">
        <row r="12">
          <cell r="C12">
            <v>336243.09</v>
          </cell>
        </row>
      </sheetData>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B D E H Categories"/>
      <sheetName val="C F G Categories "/>
      <sheetName val="Summary"/>
      <sheetName val="Spreadsheet"/>
      <sheetName val="Lists"/>
      <sheetName val="2.Strategies"/>
      <sheetName val="Sheet3"/>
    </sheetNames>
    <sheetDataSet>
      <sheetData sheetId="0"/>
      <sheetData sheetId="1"/>
      <sheetData sheetId="2"/>
      <sheetData sheetId="3"/>
      <sheetData sheetId="4">
        <row r="3">
          <cell r="A3" t="str">
            <v>Accreditation</v>
          </cell>
          <cell r="B3" t="str">
            <v>Adv Chem</v>
          </cell>
          <cell r="C3" t="str">
            <v>Assmt 1</v>
          </cell>
          <cell r="D3" t="str">
            <v>A. Salaries &amp; Wages</v>
          </cell>
          <cell r="E3" t="str">
            <v>Activity Supplies</v>
          </cell>
          <cell r="F3" t="str">
            <v>Boxes</v>
          </cell>
          <cell r="G3">
            <v>0.28799999999999998</v>
          </cell>
        </row>
        <row r="4">
          <cell r="A4" t="str">
            <v>Contract</v>
          </cell>
          <cell r="B4" t="str">
            <v>Adv Hem</v>
          </cell>
          <cell r="C4" t="str">
            <v>Assmt 2</v>
          </cell>
          <cell r="D4" t="str">
            <v>B. Fringe Benefits</v>
          </cell>
          <cell r="E4" t="str">
            <v>Addt'l Travel Exp</v>
          </cell>
          <cell r="F4" t="str">
            <v>Bulk Pkg</v>
          </cell>
          <cell r="G4">
            <v>0</v>
          </cell>
        </row>
        <row r="5">
          <cell r="A5" t="str">
            <v>General</v>
          </cell>
          <cell r="B5" t="str">
            <v>ARV</v>
          </cell>
          <cell r="C5" t="str">
            <v>Assmt 3</v>
          </cell>
          <cell r="D5" t="str">
            <v>C. Consultant</v>
          </cell>
          <cell r="E5" t="str">
            <v>Airfare</v>
          </cell>
          <cell r="F5" t="str">
            <v>Calls</v>
          </cell>
        </row>
        <row r="6">
          <cell r="A6" t="str">
            <v>In-Service</v>
          </cell>
          <cell r="B6" t="str">
            <v>Baseline</v>
          </cell>
          <cell r="C6" t="str">
            <v>Employee</v>
          </cell>
          <cell r="D6" t="str">
            <v>D. Equipment</v>
          </cell>
          <cell r="E6" t="str">
            <v>Book Bags</v>
          </cell>
          <cell r="F6" t="str">
            <v>Days</v>
          </cell>
        </row>
        <row r="7">
          <cell r="A7" t="str">
            <v>Pre-Service</v>
          </cell>
          <cell r="B7" t="str">
            <v>Biosafety</v>
          </cell>
          <cell r="C7" t="str">
            <v>Mentorship</v>
          </cell>
          <cell r="D7" t="str">
            <v>E. Supplies</v>
          </cell>
          <cell r="E7" t="str">
            <v>Books</v>
          </cell>
          <cell r="F7" t="str">
            <v>Each</v>
          </cell>
        </row>
        <row r="8">
          <cell r="A8" t="str">
            <v>SLMTA</v>
          </cell>
          <cell r="B8" t="str">
            <v>BLOT</v>
          </cell>
          <cell r="C8" t="str">
            <v>Mtg</v>
          </cell>
          <cell r="D8" t="str">
            <v>F. Travel</v>
          </cell>
          <cell r="E8" t="str">
            <v>Calculators</v>
          </cell>
          <cell r="F8" t="str">
            <v>Hours</v>
          </cell>
        </row>
        <row r="9">
          <cell r="B9" t="str">
            <v>CD4</v>
          </cell>
          <cell r="C9" t="str">
            <v>Partnership</v>
          </cell>
          <cell r="D9" t="str">
            <v>G. Other</v>
          </cell>
          <cell r="E9" t="str">
            <v>Conf. Call Charges</v>
          </cell>
          <cell r="F9" t="str">
            <v>Manuals</v>
          </cell>
        </row>
        <row r="10">
          <cell r="B10" t="str">
            <v>CD4/ Chem</v>
          </cell>
          <cell r="C10" t="str">
            <v>Procurement</v>
          </cell>
          <cell r="D10" t="str">
            <v>H. Contractual</v>
          </cell>
          <cell r="E10" t="str">
            <v>Conf. Package</v>
          </cell>
          <cell r="F10" t="str">
            <v>Months</v>
          </cell>
        </row>
        <row r="11">
          <cell r="B11" t="str">
            <v>CD4/ Chem/ Hem</v>
          </cell>
          <cell r="C11" t="str">
            <v>Roll-out</v>
          </cell>
          <cell r="D11" t="str">
            <v>I. Direct Costs</v>
          </cell>
          <cell r="E11" t="str">
            <v>Consultant Fee</v>
          </cell>
          <cell r="F11" t="str">
            <v>Persons</v>
          </cell>
        </row>
        <row r="12">
          <cell r="B12" t="str">
            <v>CD4/ Hem</v>
          </cell>
          <cell r="C12" t="str">
            <v>Sub-Contract</v>
          </cell>
          <cell r="D12" t="str">
            <v>J. Indirect Costs</v>
          </cell>
          <cell r="E12" t="str">
            <v>Contractual Services</v>
          </cell>
          <cell r="F12" t="str">
            <v>RT Tickets</v>
          </cell>
        </row>
        <row r="13">
          <cell r="B13" t="str">
            <v>Chem</v>
          </cell>
          <cell r="C13" t="str">
            <v>Sub-Contract No Ind</v>
          </cell>
          <cell r="D13" t="str">
            <v>K. Direct &amp; Indirect Costs</v>
          </cell>
          <cell r="E13" t="str">
            <v>Document Editing</v>
          </cell>
          <cell r="F13" t="str">
            <v>Salary Allocation</v>
          </cell>
        </row>
        <row r="14">
          <cell r="B14" t="str">
            <v>Chem/ Hem</v>
          </cell>
          <cell r="C14" t="str">
            <v>Tech Assist</v>
          </cell>
          <cell r="E14" t="str">
            <v>DVD/ CD</v>
          </cell>
          <cell r="F14" t="str">
            <v>Salary Direct Cost</v>
          </cell>
        </row>
        <row r="15">
          <cell r="B15" t="str">
            <v>CME</v>
          </cell>
          <cell r="C15" t="str">
            <v>ToT</v>
          </cell>
          <cell r="E15" t="str">
            <v>Equip Rental</v>
          </cell>
          <cell r="F15" t="str">
            <v>Words</v>
          </cell>
        </row>
        <row r="16">
          <cell r="B16" t="str">
            <v>Content Dev</v>
          </cell>
          <cell r="C16" t="str">
            <v>Trng</v>
          </cell>
          <cell r="E16" t="str">
            <v>Flash Drives</v>
          </cell>
        </row>
        <row r="17">
          <cell r="B17" t="str">
            <v>Curriculum Dev</v>
          </cell>
          <cell r="C17" t="str">
            <v>Wkshp</v>
          </cell>
          <cell r="E17" t="str">
            <v>Fringe Benefits</v>
          </cell>
        </row>
        <row r="18">
          <cell r="B18" t="str">
            <v>Curriculum Final</v>
          </cell>
          <cell r="E18" t="str">
            <v>Ground Transport</v>
          </cell>
        </row>
        <row r="19">
          <cell r="B19" t="str">
            <v>Curriculum Rev</v>
          </cell>
          <cell r="E19" t="str">
            <v>Lab Equip</v>
          </cell>
        </row>
        <row r="20">
          <cell r="B20" t="str">
            <v>EQA</v>
          </cell>
          <cell r="E20" t="str">
            <v>Lab Supplies</v>
          </cell>
        </row>
        <row r="21">
          <cell r="B21" t="str">
            <v>Equipment</v>
          </cell>
          <cell r="E21" t="str">
            <v>Laptop</v>
          </cell>
        </row>
        <row r="22">
          <cell r="B22" t="str">
            <v>Faculty Dev</v>
          </cell>
          <cell r="E22" t="str">
            <v>Offsite Rate - 28.8%</v>
          </cell>
        </row>
        <row r="23">
          <cell r="B23" t="str">
            <v>Grant-Writing</v>
          </cell>
          <cell r="E23" t="str">
            <v>Participant Transport</v>
          </cell>
        </row>
        <row r="24">
          <cell r="B24" t="str">
            <v>Hem</v>
          </cell>
          <cell r="E24" t="str">
            <v>Participant Housing</v>
          </cell>
        </row>
        <row r="25">
          <cell r="B25" t="str">
            <v>INS</v>
          </cell>
          <cell r="E25" t="str">
            <v>Participant Per Diem</v>
          </cell>
        </row>
        <row r="26">
          <cell r="B26" t="str">
            <v>Internal Audit</v>
          </cell>
          <cell r="E26" t="str">
            <v>Particpant Airfare</v>
          </cell>
        </row>
        <row r="27">
          <cell r="B27" t="str">
            <v>Lab Assn</v>
          </cell>
          <cell r="E27" t="str">
            <v>Per Diem</v>
          </cell>
        </row>
        <row r="28">
          <cell r="B28" t="str">
            <v>Lab Partners'</v>
          </cell>
          <cell r="E28" t="str">
            <v>Phone/ Internet</v>
          </cell>
        </row>
        <row r="29">
          <cell r="B29" t="str">
            <v>Lab Supplies</v>
          </cell>
          <cell r="E29" t="str">
            <v>Photocopying</v>
          </cell>
        </row>
        <row r="30">
          <cell r="B30" t="str">
            <v>LIS</v>
          </cell>
          <cell r="E30" t="str">
            <v>Postage</v>
          </cell>
        </row>
        <row r="31">
          <cell r="B31" t="str">
            <v>M&amp;E</v>
          </cell>
          <cell r="E31" t="str">
            <v>Printed Mtl</v>
          </cell>
        </row>
        <row r="32">
          <cell r="B32" t="str">
            <v>Mentorship/IP</v>
          </cell>
          <cell r="E32" t="str">
            <v>Salaries &amp; Wages</v>
          </cell>
        </row>
        <row r="33">
          <cell r="B33" t="str">
            <v>Needs</v>
          </cell>
          <cell r="E33" t="str">
            <v>Shipping Costs</v>
          </cell>
        </row>
        <row r="34">
          <cell r="B34" t="str">
            <v>Off Site Rate at 28.8%</v>
          </cell>
          <cell r="E34" t="str">
            <v>Translate In-Country</v>
          </cell>
        </row>
        <row r="35">
          <cell r="B35" t="str">
            <v>Phleb</v>
          </cell>
          <cell r="E35" t="str">
            <v>Translate Printed Mtl</v>
          </cell>
        </row>
        <row r="36">
          <cell r="B36" t="str">
            <v>POCT</v>
          </cell>
          <cell r="E36" t="str">
            <v>Venue</v>
          </cell>
        </row>
        <row r="37">
          <cell r="B37" t="str">
            <v>QA</v>
          </cell>
        </row>
        <row r="38">
          <cell r="B38" t="str">
            <v>QA/ QC</v>
          </cell>
        </row>
        <row r="39">
          <cell r="B39" t="str">
            <v>QC</v>
          </cell>
        </row>
        <row r="40">
          <cell r="B40" t="str">
            <v>QMS</v>
          </cell>
        </row>
        <row r="41">
          <cell r="B41" t="str">
            <v>SLIPTA Checklist</v>
          </cell>
        </row>
        <row r="42">
          <cell r="B42" t="str">
            <v>SLMTA</v>
          </cell>
        </row>
        <row r="43">
          <cell r="B43" t="str">
            <v>SLMTA 1</v>
          </cell>
        </row>
        <row r="44">
          <cell r="B44" t="str">
            <v>SLMTA 2</v>
          </cell>
        </row>
      </sheetData>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B D E H Categories"/>
      <sheetName val="C F G Categories "/>
      <sheetName val="Summary"/>
      <sheetName val="Spreadsheet"/>
      <sheetName val="Lists"/>
      <sheetName val="2.Strategies"/>
      <sheetName val="Sheet3"/>
      <sheetName val="Inputs"/>
    </sheetNames>
    <sheetDataSet>
      <sheetData sheetId="0"/>
      <sheetData sheetId="1"/>
      <sheetData sheetId="2"/>
      <sheetData sheetId="3"/>
      <sheetData sheetId="4">
        <row r="2">
          <cell r="E2" t="str">
            <v xml:space="preserve">   </v>
          </cell>
        </row>
        <row r="3">
          <cell r="A3" t="str">
            <v>Accreditation</v>
          </cell>
          <cell r="B3" t="str">
            <v>Adv Chem</v>
          </cell>
          <cell r="C3" t="str">
            <v>Assmt 1</v>
          </cell>
          <cell r="D3" t="str">
            <v>A. Salaries &amp; Wages</v>
          </cell>
          <cell r="E3" t="str">
            <v>Activity Supplies</v>
          </cell>
          <cell r="F3" t="str">
            <v>Boxes</v>
          </cell>
          <cell r="G3">
            <v>0.28799999999999998</v>
          </cell>
        </row>
        <row r="4">
          <cell r="A4" t="str">
            <v>Contract</v>
          </cell>
          <cell r="B4" t="str">
            <v>Adv Hem</v>
          </cell>
          <cell r="C4" t="str">
            <v>Assmt 2</v>
          </cell>
          <cell r="D4" t="str">
            <v>B. Fringe Benefits</v>
          </cell>
          <cell r="E4" t="str">
            <v>Addt'l Travel Exp</v>
          </cell>
          <cell r="F4" t="str">
            <v>Bulk Pkg</v>
          </cell>
          <cell r="G4">
            <v>0</v>
          </cell>
        </row>
        <row r="5">
          <cell r="A5" t="str">
            <v>General</v>
          </cell>
          <cell r="B5" t="str">
            <v>ARV</v>
          </cell>
          <cell r="C5" t="str">
            <v>Assmt 3</v>
          </cell>
          <cell r="D5" t="str">
            <v>C. Consultant</v>
          </cell>
          <cell r="E5" t="str">
            <v>Airfare</v>
          </cell>
          <cell r="F5" t="str">
            <v>Calls</v>
          </cell>
        </row>
        <row r="6">
          <cell r="A6" t="str">
            <v>In-Service</v>
          </cell>
          <cell r="B6" t="str">
            <v>Baseline</v>
          </cell>
          <cell r="C6" t="str">
            <v>Employee</v>
          </cell>
          <cell r="D6" t="str">
            <v>D. Equipment</v>
          </cell>
          <cell r="E6" t="str">
            <v>Book Bags</v>
          </cell>
          <cell r="F6" t="str">
            <v>Days</v>
          </cell>
        </row>
        <row r="7">
          <cell r="A7" t="str">
            <v>Pre-Service</v>
          </cell>
          <cell r="B7" t="str">
            <v>Biosafety</v>
          </cell>
          <cell r="C7" t="str">
            <v>Mentorship</v>
          </cell>
          <cell r="D7" t="str">
            <v>E. Supplies</v>
          </cell>
          <cell r="E7" t="str">
            <v>Books</v>
          </cell>
          <cell r="F7" t="str">
            <v>Each</v>
          </cell>
        </row>
        <row r="8">
          <cell r="A8" t="str">
            <v>SLMTA</v>
          </cell>
          <cell r="B8" t="str">
            <v>BLOT</v>
          </cell>
          <cell r="C8" t="str">
            <v>Mtg</v>
          </cell>
          <cell r="D8" t="str">
            <v>F. Travel</v>
          </cell>
          <cell r="E8" t="str">
            <v>Calculators</v>
          </cell>
          <cell r="F8" t="str">
            <v>Hours</v>
          </cell>
        </row>
        <row r="9">
          <cell r="B9" t="str">
            <v>CD4</v>
          </cell>
          <cell r="C9" t="str">
            <v>Partnership</v>
          </cell>
          <cell r="D9" t="str">
            <v>G. Other</v>
          </cell>
          <cell r="E9" t="str">
            <v>Conf. Call Charges</v>
          </cell>
          <cell r="F9" t="str">
            <v>Manuals</v>
          </cell>
        </row>
        <row r="10">
          <cell r="B10" t="str">
            <v>CD4/ Chem</v>
          </cell>
          <cell r="C10" t="str">
            <v>Procurement</v>
          </cell>
          <cell r="D10" t="str">
            <v>H. Contractual</v>
          </cell>
          <cell r="E10" t="str">
            <v>Conf. Package</v>
          </cell>
          <cell r="F10" t="str">
            <v>Months</v>
          </cell>
        </row>
        <row r="11">
          <cell r="B11" t="str">
            <v>CD4/ Chem/ Hem</v>
          </cell>
          <cell r="C11" t="str">
            <v>Roll-out</v>
          </cell>
          <cell r="D11" t="str">
            <v>I. Direct Costs</v>
          </cell>
          <cell r="E11" t="str">
            <v>Consultant Fee</v>
          </cell>
          <cell r="F11" t="str">
            <v>Persons</v>
          </cell>
        </row>
        <row r="12">
          <cell r="B12" t="str">
            <v>CD4/ Hem</v>
          </cell>
          <cell r="C12" t="str">
            <v>Sub-Contract</v>
          </cell>
          <cell r="D12" t="str">
            <v>J. Indirect Costs</v>
          </cell>
          <cell r="E12" t="str">
            <v>Contractual Services</v>
          </cell>
          <cell r="F12" t="str">
            <v>RT Tickets</v>
          </cell>
        </row>
        <row r="13">
          <cell r="B13" t="str">
            <v>Chem</v>
          </cell>
          <cell r="C13" t="str">
            <v>Sub-Contract No Ind</v>
          </cell>
          <cell r="D13" t="str">
            <v>K. Direct &amp; Indirect Costs</v>
          </cell>
          <cell r="E13" t="str">
            <v>Document Editing</v>
          </cell>
          <cell r="F13" t="str">
            <v>Salary Allocation</v>
          </cell>
        </row>
        <row r="14">
          <cell r="B14" t="str">
            <v>Chem/ Hem</v>
          </cell>
          <cell r="C14" t="str">
            <v>Tech Assist</v>
          </cell>
          <cell r="E14" t="str">
            <v>DVD/ CD</v>
          </cell>
          <cell r="F14" t="str">
            <v>Salary Direct Cost</v>
          </cell>
        </row>
        <row r="15">
          <cell r="B15" t="str">
            <v>CME</v>
          </cell>
          <cell r="C15" t="str">
            <v>ToT</v>
          </cell>
          <cell r="E15" t="str">
            <v>Equip Rental</v>
          </cell>
          <cell r="F15" t="str">
            <v>Words</v>
          </cell>
        </row>
        <row r="16">
          <cell r="B16" t="str">
            <v>Content Dev</v>
          </cell>
          <cell r="C16" t="str">
            <v>Trng</v>
          </cell>
          <cell r="E16" t="str">
            <v>Flash Drives</v>
          </cell>
        </row>
        <row r="17">
          <cell r="B17" t="str">
            <v>Curriculum Dev</v>
          </cell>
          <cell r="C17" t="str">
            <v>Wkshp</v>
          </cell>
          <cell r="E17" t="str">
            <v>Fringe Benefits</v>
          </cell>
        </row>
        <row r="18">
          <cell r="B18" t="str">
            <v>Curriculum Final</v>
          </cell>
          <cell r="E18" t="str">
            <v>Ground Transport</v>
          </cell>
        </row>
        <row r="19">
          <cell r="B19" t="str">
            <v>Curriculum Rev</v>
          </cell>
          <cell r="E19" t="str">
            <v>Lab Equip</v>
          </cell>
        </row>
        <row r="20">
          <cell r="B20" t="str">
            <v>EQA</v>
          </cell>
          <cell r="E20" t="str">
            <v>Lab Supplies</v>
          </cell>
        </row>
        <row r="21">
          <cell r="B21" t="str">
            <v>Equipment</v>
          </cell>
          <cell r="E21" t="str">
            <v>Laptop</v>
          </cell>
        </row>
        <row r="22">
          <cell r="B22" t="str">
            <v>Faculty Dev</v>
          </cell>
          <cell r="E22" t="str">
            <v>Offsite Rate - 28.8%</v>
          </cell>
        </row>
        <row r="23">
          <cell r="B23" t="str">
            <v>Grant-Writing</v>
          </cell>
          <cell r="E23" t="str">
            <v>Participant Transport</v>
          </cell>
        </row>
        <row r="24">
          <cell r="B24" t="str">
            <v>Hem</v>
          </cell>
          <cell r="E24" t="str">
            <v>Participant Housing</v>
          </cell>
        </row>
        <row r="25">
          <cell r="B25" t="str">
            <v>INS</v>
          </cell>
          <cell r="E25" t="str">
            <v>Participant Per Diem</v>
          </cell>
        </row>
        <row r="26">
          <cell r="B26" t="str">
            <v>Internal Audit</v>
          </cell>
          <cell r="E26" t="str">
            <v>Particpant Airfare</v>
          </cell>
        </row>
        <row r="27">
          <cell r="B27" t="str">
            <v>Lab Assn</v>
          </cell>
          <cell r="E27" t="str">
            <v xml:space="preserve">Per Diem </v>
          </cell>
        </row>
        <row r="28">
          <cell r="B28" t="str">
            <v>Lab Partners'</v>
          </cell>
          <cell r="E28" t="str">
            <v>Phone/ Internet</v>
          </cell>
        </row>
        <row r="29">
          <cell r="B29" t="str">
            <v>Lab Supplies</v>
          </cell>
          <cell r="E29" t="str">
            <v>Photocopying</v>
          </cell>
        </row>
        <row r="30">
          <cell r="B30" t="str">
            <v>LIS</v>
          </cell>
          <cell r="E30" t="str">
            <v>Postage</v>
          </cell>
        </row>
        <row r="31">
          <cell r="B31" t="str">
            <v>M&amp;E</v>
          </cell>
          <cell r="E31" t="str">
            <v xml:space="preserve">Printed Mtl </v>
          </cell>
        </row>
        <row r="32">
          <cell r="B32" t="str">
            <v>Mentorship/IP</v>
          </cell>
          <cell r="E32" t="str">
            <v>Salaries &amp; Wages</v>
          </cell>
        </row>
        <row r="33">
          <cell r="B33" t="str">
            <v>Needs</v>
          </cell>
          <cell r="E33" t="str">
            <v>Shipping Costs</v>
          </cell>
        </row>
        <row r="34">
          <cell r="B34" t="str">
            <v>Off Site Rate at 28.8%</v>
          </cell>
          <cell r="E34" t="str">
            <v>Translate In-Country</v>
          </cell>
        </row>
        <row r="35">
          <cell r="B35" t="str">
            <v>Phleb</v>
          </cell>
          <cell r="E35" t="str">
            <v>Translate Printed Mtl</v>
          </cell>
        </row>
        <row r="36">
          <cell r="B36" t="str">
            <v>POCT</v>
          </cell>
          <cell r="E36" t="str">
            <v xml:space="preserve">Venue </v>
          </cell>
        </row>
        <row r="37">
          <cell r="B37" t="str">
            <v>QA</v>
          </cell>
        </row>
        <row r="38">
          <cell r="B38" t="str">
            <v>QA/ QC</v>
          </cell>
        </row>
        <row r="39">
          <cell r="B39" t="str">
            <v>QC</v>
          </cell>
        </row>
        <row r="40">
          <cell r="B40" t="str">
            <v>QMS</v>
          </cell>
        </row>
        <row r="41">
          <cell r="B41" t="str">
            <v>SLIPTA Checklist</v>
          </cell>
        </row>
        <row r="42">
          <cell r="B42" t="str">
            <v>SLMTA</v>
          </cell>
        </row>
        <row r="43">
          <cell r="B43" t="str">
            <v>SLMTA 1</v>
          </cell>
        </row>
        <row r="44">
          <cell r="B44" t="str">
            <v>SLMTA 2</v>
          </cell>
        </row>
      </sheetData>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NEW"/>
      <sheetName val="Template"/>
      <sheetName val="Lists"/>
      <sheetName val="Sheet2"/>
    </sheetNames>
    <sheetDataSet>
      <sheetData sheetId="0"/>
      <sheetData sheetId="1"/>
      <sheetData sheetId="2">
        <row r="3">
          <cell r="A3" t="str">
            <v>Botswana</v>
          </cell>
          <cell r="B3" t="str">
            <v>COP 08</v>
          </cell>
          <cell r="C3" t="str">
            <v>Accreditation</v>
          </cell>
          <cell r="D3" t="str">
            <v>Advanced Chem</v>
          </cell>
          <cell r="E3" t="str">
            <v>Assmt</v>
          </cell>
          <cell r="F3" t="str">
            <v>A. Salaries &amp; Wages</v>
          </cell>
          <cell r="G3" t="str">
            <v>Airfare</v>
          </cell>
          <cell r="H3" t="str">
            <v>Bag(s)</v>
          </cell>
          <cell r="I3">
            <v>0.28599999999999998</v>
          </cell>
        </row>
        <row r="4">
          <cell r="A4" t="str">
            <v>Cambodia</v>
          </cell>
          <cell r="B4" t="str">
            <v>COP 09</v>
          </cell>
          <cell r="C4" t="str">
            <v>Contract</v>
          </cell>
          <cell r="D4" t="str">
            <v>Advanced Hem</v>
          </cell>
          <cell r="E4" t="str">
            <v>Employee</v>
          </cell>
          <cell r="F4" t="str">
            <v>B. Fringe Benefits</v>
          </cell>
          <cell r="G4" t="str">
            <v>Calculators</v>
          </cell>
          <cell r="H4" t="str">
            <v>Binder(s)</v>
          </cell>
          <cell r="I4">
            <v>0</v>
          </cell>
        </row>
        <row r="5">
          <cell r="A5" t="str">
            <v>Central Asia</v>
          </cell>
          <cell r="B5" t="str">
            <v>COP 10</v>
          </cell>
          <cell r="C5" t="str">
            <v>General</v>
          </cell>
          <cell r="D5" t="str">
            <v>Baseline</v>
          </cell>
          <cell r="E5" t="str">
            <v>Mentorship</v>
          </cell>
          <cell r="F5" t="str">
            <v>C. Consultant</v>
          </cell>
          <cell r="G5" t="str">
            <v>Conf. Call Charges</v>
          </cell>
          <cell r="H5" t="str">
            <v>Book(s)</v>
          </cell>
        </row>
        <row r="6">
          <cell r="A6" t="str">
            <v>Cote d'Ivoire</v>
          </cell>
          <cell r="B6" t="str">
            <v>COP 11</v>
          </cell>
          <cell r="C6" t="str">
            <v>In-Service</v>
          </cell>
          <cell r="D6" t="str">
            <v>BLOT</v>
          </cell>
          <cell r="E6" t="str">
            <v>Mtg</v>
          </cell>
          <cell r="F6" t="str">
            <v>D. Equipment</v>
          </cell>
          <cell r="G6" t="str">
            <v>Consultant Fee</v>
          </cell>
          <cell r="H6" t="str">
            <v>Box(es)</v>
          </cell>
        </row>
        <row r="7">
          <cell r="A7" t="str">
            <v>Ethiopia</v>
          </cell>
          <cell r="B7" t="str">
            <v>COP 12</v>
          </cell>
          <cell r="C7" t="str">
            <v>Pre-Service</v>
          </cell>
          <cell r="D7" t="str">
            <v>CD4</v>
          </cell>
          <cell r="E7" t="str">
            <v>Partnership</v>
          </cell>
          <cell r="F7" t="str">
            <v>E. Supplies</v>
          </cell>
          <cell r="G7" t="str">
            <v>Document Editing</v>
          </cell>
          <cell r="H7" t="str">
            <v>Calculator(s)</v>
          </cell>
        </row>
        <row r="8">
          <cell r="A8" t="str">
            <v>Guyana</v>
          </cell>
          <cell r="C8" t="str">
            <v>Procurement</v>
          </cell>
          <cell r="D8" t="str">
            <v>CD4/ Chem</v>
          </cell>
          <cell r="E8" t="str">
            <v>Roll-out</v>
          </cell>
          <cell r="F8" t="str">
            <v>F. Travel</v>
          </cell>
          <cell r="G8" t="str">
            <v>DVD/ CD</v>
          </cell>
          <cell r="H8" t="str">
            <v>Call(s)</v>
          </cell>
        </row>
        <row r="9">
          <cell r="A9" t="str">
            <v>Haiti</v>
          </cell>
          <cell r="C9" t="str">
            <v>SLMTA</v>
          </cell>
          <cell r="D9" t="str">
            <v>CD4/ Chem/ Hem</v>
          </cell>
          <cell r="E9" t="str">
            <v>Software Trng</v>
          </cell>
          <cell r="F9" t="str">
            <v>G. Other</v>
          </cell>
          <cell r="G9" t="str">
            <v>Flash Drive</v>
          </cell>
          <cell r="H9" t="str">
            <v>Computer(s)</v>
          </cell>
        </row>
        <row r="10">
          <cell r="A10" t="str">
            <v>Kenya</v>
          </cell>
          <cell r="D10" t="str">
            <v>CD4/ Hem</v>
          </cell>
          <cell r="E10" t="str">
            <v>Sub-Contract</v>
          </cell>
          <cell r="F10" t="str">
            <v>H. Contractual</v>
          </cell>
          <cell r="G10" t="str">
            <v>Fringe Benefits</v>
          </cell>
          <cell r="H10" t="str">
            <v>Day(s)</v>
          </cell>
        </row>
        <row r="11">
          <cell r="A11" t="str">
            <v>Lesotho</v>
          </cell>
          <cell r="D11" t="str">
            <v>Chem/ Hem</v>
          </cell>
          <cell r="E11" t="str">
            <v>Tech Assist</v>
          </cell>
          <cell r="F11" t="str">
            <v>I. Direct Costs</v>
          </cell>
          <cell r="G11" t="str">
            <v>Hour</v>
          </cell>
          <cell r="H11" t="str">
            <v>Each</v>
          </cell>
        </row>
        <row r="12">
          <cell r="A12" t="str">
            <v>Mozambique</v>
          </cell>
          <cell r="D12" t="str">
            <v>Chemisty</v>
          </cell>
          <cell r="E12" t="str">
            <v>ToT</v>
          </cell>
          <cell r="F12" t="str">
            <v>J. Indirect Costs</v>
          </cell>
          <cell r="G12" t="str">
            <v>Lab Equip</v>
          </cell>
          <cell r="H12" t="str">
            <v>Hour(s)</v>
          </cell>
        </row>
        <row r="13">
          <cell r="A13" t="str">
            <v>Namibia</v>
          </cell>
          <cell r="D13" t="str">
            <v>Content Dev</v>
          </cell>
          <cell r="E13" t="str">
            <v>Trng</v>
          </cell>
          <cell r="F13" t="str">
            <v>K. Direct &amp; Indirect Costs</v>
          </cell>
          <cell r="G13" t="str">
            <v>Laptop</v>
          </cell>
          <cell r="H13" t="str">
            <v>Manual(s)</v>
          </cell>
        </row>
        <row r="14">
          <cell r="A14" t="str">
            <v>Nigeria</v>
          </cell>
          <cell r="D14" t="str">
            <v>Curriculum Dev</v>
          </cell>
          <cell r="E14" t="str">
            <v>Wkshp</v>
          </cell>
          <cell r="G14" t="str">
            <v>LCD Projector</v>
          </cell>
          <cell r="H14" t="str">
            <v>Meal(s)</v>
          </cell>
        </row>
        <row r="15">
          <cell r="A15" t="str">
            <v>Rwanda</v>
          </cell>
          <cell r="D15" t="str">
            <v>Curriculum Final</v>
          </cell>
          <cell r="E15" t="str">
            <v>Procurement</v>
          </cell>
          <cell r="G15" t="str">
            <v>Lighting Equip</v>
          </cell>
          <cell r="H15" t="str">
            <v>Month(s)</v>
          </cell>
        </row>
        <row r="16">
          <cell r="A16" t="str">
            <v>Sierra Leone</v>
          </cell>
          <cell r="D16" t="str">
            <v>Curriculum Rev</v>
          </cell>
          <cell r="G16" t="str">
            <v>Local Transport</v>
          </cell>
          <cell r="H16" t="str">
            <v>Person(s)</v>
          </cell>
        </row>
        <row r="17">
          <cell r="A17" t="str">
            <v>Swaziland</v>
          </cell>
          <cell r="D17" t="str">
            <v>Faculty Dev</v>
          </cell>
          <cell r="G17" t="str">
            <v>Misc Travel Exp</v>
          </cell>
          <cell r="H17" t="str">
            <v>Projector(s)</v>
          </cell>
        </row>
        <row r="18">
          <cell r="A18" t="str">
            <v>Tanzania</v>
          </cell>
          <cell r="D18" t="str">
            <v>Grant-Writing</v>
          </cell>
          <cell r="G18" t="str">
            <v>Office Supplies</v>
          </cell>
          <cell r="H18" t="str">
            <v>RT Ticket(s)</v>
          </cell>
        </row>
        <row r="19">
          <cell r="A19" t="str">
            <v>Ukraine</v>
          </cell>
          <cell r="D19" t="str">
            <v>Hematology</v>
          </cell>
          <cell r="G19" t="str">
            <v>Participant Housing</v>
          </cell>
          <cell r="H19" t="str">
            <v>Salary Cost</v>
          </cell>
        </row>
        <row r="20">
          <cell r="A20" t="str">
            <v>Vietnam</v>
          </cell>
          <cell r="D20" t="str">
            <v>INS</v>
          </cell>
          <cell r="G20" t="str">
            <v>Participant Per Diem</v>
          </cell>
          <cell r="H20" t="str">
            <v>Salary Allocation</v>
          </cell>
        </row>
        <row r="21">
          <cell r="A21" t="str">
            <v>Headquarters</v>
          </cell>
          <cell r="D21" t="str">
            <v>Lab Assn</v>
          </cell>
          <cell r="G21" t="str">
            <v>Participant Transport</v>
          </cell>
          <cell r="H21" t="str">
            <v>Total Budget</v>
          </cell>
        </row>
        <row r="22">
          <cell r="D22" t="str">
            <v>Lab Partners'</v>
          </cell>
          <cell r="G22" t="str">
            <v>Per Diem - Full</v>
          </cell>
          <cell r="H22" t="str">
            <v>Word(s)</v>
          </cell>
        </row>
        <row r="23">
          <cell r="D23" t="str">
            <v>Lab Strengthening</v>
          </cell>
          <cell r="G23" t="str">
            <v>Per Diem - M&amp;IE</v>
          </cell>
        </row>
        <row r="24">
          <cell r="D24" t="str">
            <v>M&amp;E</v>
          </cell>
          <cell r="G24" t="str">
            <v>Phleb Supplies</v>
          </cell>
        </row>
        <row r="25">
          <cell r="D25" t="str">
            <v>Needs</v>
          </cell>
          <cell r="G25" t="str">
            <v>Phone/ Internet</v>
          </cell>
        </row>
        <row r="26">
          <cell r="D26" t="str">
            <v>Off Site Rate at 28.6%</v>
          </cell>
          <cell r="G26" t="str">
            <v>Photocopying</v>
          </cell>
        </row>
        <row r="27">
          <cell r="D27" t="str">
            <v>Phlebotomy</v>
          </cell>
          <cell r="G27" t="str">
            <v>Postage</v>
          </cell>
        </row>
        <row r="28">
          <cell r="D28" t="str">
            <v>Post</v>
          </cell>
          <cell r="G28" t="str">
            <v>Rate at 28.6%</v>
          </cell>
        </row>
        <row r="29">
          <cell r="D29" t="str">
            <v>Post-Stakeholders'</v>
          </cell>
          <cell r="G29" t="str">
            <v>Printed Mtl</v>
          </cell>
        </row>
        <row r="30">
          <cell r="D30" t="str">
            <v>Pre</v>
          </cell>
          <cell r="G30" t="str">
            <v>Salaries &amp; Wages</v>
          </cell>
        </row>
        <row r="31">
          <cell r="D31" t="str">
            <v>Pre-Service</v>
          </cell>
          <cell r="G31" t="str">
            <v>Shipping Costs</v>
          </cell>
        </row>
        <row r="32">
          <cell r="D32" t="str">
            <v>Pre-Stakeholders'</v>
          </cell>
          <cell r="G32" t="str">
            <v>Teaching Aids</v>
          </cell>
        </row>
        <row r="33">
          <cell r="D33" t="str">
            <v>Procurement</v>
          </cell>
          <cell r="G33" t="str">
            <v>Text Books</v>
          </cell>
        </row>
        <row r="34">
          <cell r="D34" t="str">
            <v>QA</v>
          </cell>
          <cell r="G34" t="str">
            <v>Tote Bags</v>
          </cell>
        </row>
        <row r="35">
          <cell r="D35" t="str">
            <v>QA/ QC</v>
          </cell>
          <cell r="G35" t="str">
            <v>Translate In-Country</v>
          </cell>
        </row>
        <row r="36">
          <cell r="D36" t="str">
            <v>QC</v>
          </cell>
          <cell r="G36" t="str">
            <v>Translate Printed Mtl</v>
          </cell>
        </row>
        <row r="37">
          <cell r="D37" t="str">
            <v>Sit. Analysis</v>
          </cell>
          <cell r="G37" t="str">
            <v>Venue</v>
          </cell>
        </row>
        <row r="38">
          <cell r="D38" t="str">
            <v>SLMTA</v>
          </cell>
          <cell r="G38" t="str">
            <v>Video Equip Rental</v>
          </cell>
        </row>
        <row r="39">
          <cell r="D39" t="str">
            <v>SLMTA 1</v>
          </cell>
        </row>
        <row r="40">
          <cell r="D40" t="str">
            <v>SLMTA 2</v>
          </cell>
        </row>
        <row r="41">
          <cell r="D41" t="str">
            <v>SLMTA 3</v>
          </cell>
        </row>
        <row r="42">
          <cell r="D42" t="str">
            <v>SLMTA 4</v>
          </cell>
        </row>
        <row r="43">
          <cell r="D43" t="str">
            <v>SLMTA Planning</v>
          </cell>
        </row>
        <row r="44">
          <cell r="D44" t="str">
            <v>Stakeholders'</v>
          </cell>
        </row>
        <row r="45">
          <cell r="D45" t="str">
            <v>Strat. Planning</v>
          </cell>
        </row>
        <row r="46">
          <cell r="D46" t="str">
            <v>Sub-Contract</v>
          </cell>
        </row>
        <row r="47">
          <cell r="D47" t="str">
            <v>TB Equipment</v>
          </cell>
        </row>
        <row r="48">
          <cell r="D48" t="str">
            <v>Teaching Method</v>
          </cell>
        </row>
        <row r="49">
          <cell r="D49" t="str">
            <v>Tech Assist</v>
          </cell>
        </row>
      </sheetData>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NEW"/>
      <sheetName val="Template"/>
      <sheetName val="Lists"/>
      <sheetName val="Sheet2"/>
    </sheetNames>
    <sheetDataSet>
      <sheetData sheetId="0" refreshError="1"/>
      <sheetData sheetId="1" refreshError="1"/>
      <sheetData sheetId="2">
        <row r="2">
          <cell r="A2" t="str">
            <v xml:space="preserve"> </v>
          </cell>
          <cell r="B2" t="str">
            <v xml:space="preserve"> </v>
          </cell>
          <cell r="C2" t="str">
            <v xml:space="preserve"> </v>
          </cell>
          <cell r="D2" t="str">
            <v xml:space="preserve"> </v>
          </cell>
          <cell r="E2" t="str">
            <v xml:space="preserve"> </v>
          </cell>
          <cell r="F2" t="str">
            <v xml:space="preserve"> </v>
          </cell>
          <cell r="G2" t="str">
            <v xml:space="preserve"> </v>
          </cell>
          <cell r="H2" t="str">
            <v xml:space="preserve"> </v>
          </cell>
        </row>
        <row r="3">
          <cell r="A3" t="str">
            <v>Botswana</v>
          </cell>
          <cell r="B3" t="str">
            <v>COP 08</v>
          </cell>
          <cell r="C3" t="str">
            <v>Accreditation</v>
          </cell>
          <cell r="D3" t="str">
            <v>Advanced Chem</v>
          </cell>
          <cell r="E3" t="str">
            <v>Assmt</v>
          </cell>
          <cell r="F3" t="str">
            <v>A. Salaries &amp; Wages</v>
          </cell>
          <cell r="G3" t="str">
            <v>Airfare</v>
          </cell>
          <cell r="H3" t="str">
            <v>Bag(s)</v>
          </cell>
          <cell r="I3">
            <v>0.28599999999999998</v>
          </cell>
        </row>
        <row r="4">
          <cell r="A4" t="str">
            <v>Cambodia</v>
          </cell>
          <cell r="B4" t="str">
            <v>COP 09</v>
          </cell>
          <cell r="C4" t="str">
            <v>Contract</v>
          </cell>
          <cell r="D4" t="str">
            <v>Advanced Hem</v>
          </cell>
          <cell r="E4" t="str">
            <v>Employee</v>
          </cell>
          <cell r="F4" t="str">
            <v>B. Fringe Benefits</v>
          </cell>
          <cell r="G4" t="str">
            <v>Calculators</v>
          </cell>
          <cell r="H4" t="str">
            <v>Binder(s)</v>
          </cell>
          <cell r="I4">
            <v>0</v>
          </cell>
        </row>
        <row r="5">
          <cell r="A5" t="str">
            <v>Central Asia</v>
          </cell>
          <cell r="B5" t="str">
            <v>COP 10</v>
          </cell>
          <cell r="C5" t="str">
            <v>General</v>
          </cell>
          <cell r="D5" t="str">
            <v>Baseline</v>
          </cell>
          <cell r="E5" t="str">
            <v>Mentorship</v>
          </cell>
          <cell r="F5" t="str">
            <v>C. Consultant</v>
          </cell>
          <cell r="G5" t="str">
            <v>Conf. Call Charges</v>
          </cell>
          <cell r="H5" t="str">
            <v>Book(s)</v>
          </cell>
        </row>
        <row r="6">
          <cell r="A6" t="str">
            <v>Cote d'Ivoire</v>
          </cell>
          <cell r="B6" t="str">
            <v>COP 11</v>
          </cell>
          <cell r="C6" t="str">
            <v>In-Service</v>
          </cell>
          <cell r="D6" t="str">
            <v>BLOT</v>
          </cell>
          <cell r="E6" t="str">
            <v>Mtg</v>
          </cell>
          <cell r="F6" t="str">
            <v>D. Equipment</v>
          </cell>
          <cell r="G6" t="str">
            <v>Consultant Fee</v>
          </cell>
          <cell r="H6" t="str">
            <v>Box(es)</v>
          </cell>
        </row>
        <row r="7">
          <cell r="A7" t="str">
            <v>Ethiopia</v>
          </cell>
          <cell r="B7" t="str">
            <v>COP 12</v>
          </cell>
          <cell r="C7" t="str">
            <v>Pre-Service</v>
          </cell>
          <cell r="D7" t="str">
            <v>CD4</v>
          </cell>
          <cell r="E7" t="str">
            <v>Partnership</v>
          </cell>
          <cell r="F7" t="str">
            <v>E. Supplies</v>
          </cell>
          <cell r="G7" t="str">
            <v>Document Editing</v>
          </cell>
          <cell r="H7" t="str">
            <v>Calculator(s)</v>
          </cell>
        </row>
        <row r="8">
          <cell r="A8" t="str">
            <v>Guyana</v>
          </cell>
          <cell r="C8" t="str">
            <v>Procurement</v>
          </cell>
          <cell r="D8" t="str">
            <v>CD4/ Chem</v>
          </cell>
          <cell r="E8" t="str">
            <v>Roll-out</v>
          </cell>
          <cell r="F8" t="str">
            <v>F. Travel</v>
          </cell>
          <cell r="G8" t="str">
            <v>DVD/ CD</v>
          </cell>
          <cell r="H8" t="str">
            <v>Call(s)</v>
          </cell>
        </row>
        <row r="9">
          <cell r="A9" t="str">
            <v>Haiti</v>
          </cell>
          <cell r="C9" t="str">
            <v>SLMTA</v>
          </cell>
          <cell r="D9" t="str">
            <v>CD4/ Chem/ Hem</v>
          </cell>
          <cell r="E9" t="str">
            <v>Software Trng</v>
          </cell>
          <cell r="F9" t="str">
            <v>G. Other</v>
          </cell>
          <cell r="G9" t="str">
            <v>Flash Drive</v>
          </cell>
          <cell r="H9" t="str">
            <v>Computer(s)</v>
          </cell>
        </row>
        <row r="10">
          <cell r="A10" t="str">
            <v>Kenya</v>
          </cell>
          <cell r="D10" t="str">
            <v>CD4/ Hem</v>
          </cell>
          <cell r="E10" t="str">
            <v>Sub-Contract</v>
          </cell>
          <cell r="F10" t="str">
            <v>H. Contractual</v>
          </cell>
          <cell r="G10" t="str">
            <v>Fringe Benefits</v>
          </cell>
          <cell r="H10" t="str">
            <v>Day(s)</v>
          </cell>
        </row>
        <row r="11">
          <cell r="A11" t="str">
            <v>Lesotho</v>
          </cell>
          <cell r="D11" t="str">
            <v>Chem/ Hem</v>
          </cell>
          <cell r="E11" t="str">
            <v>Tech Assist</v>
          </cell>
          <cell r="F11" t="str">
            <v>I. Direct Costs</v>
          </cell>
          <cell r="G11" t="str">
            <v>Hour</v>
          </cell>
          <cell r="H11" t="str">
            <v>Each</v>
          </cell>
        </row>
        <row r="12">
          <cell r="A12" t="str">
            <v>Mozambique</v>
          </cell>
          <cell r="D12" t="str">
            <v>Chemisty</v>
          </cell>
          <cell r="E12" t="str">
            <v>ToT</v>
          </cell>
          <cell r="F12" t="str">
            <v>J. Indirect Costs</v>
          </cell>
          <cell r="G12" t="str">
            <v>Lab Equip</v>
          </cell>
          <cell r="H12" t="str">
            <v>Hour(s)</v>
          </cell>
        </row>
        <row r="13">
          <cell r="A13" t="str">
            <v>Namibia</v>
          </cell>
          <cell r="D13" t="str">
            <v>Content Dev</v>
          </cell>
          <cell r="E13" t="str">
            <v>Trng</v>
          </cell>
          <cell r="F13" t="str">
            <v>K. Direct &amp; Indirect Costs</v>
          </cell>
          <cell r="G13" t="str">
            <v>Laptop</v>
          </cell>
          <cell r="H13" t="str">
            <v>Manual(s)</v>
          </cell>
        </row>
        <row r="14">
          <cell r="A14" t="str">
            <v>Nigeria</v>
          </cell>
          <cell r="D14" t="str">
            <v>Curriculum Dev</v>
          </cell>
          <cell r="E14" t="str">
            <v>Wkshp</v>
          </cell>
          <cell r="G14" t="str">
            <v>LCD Projector</v>
          </cell>
          <cell r="H14" t="str">
            <v>Meal(s)</v>
          </cell>
        </row>
        <row r="15">
          <cell r="A15" t="str">
            <v>Rwanda</v>
          </cell>
          <cell r="D15" t="str">
            <v>Curriculum Final</v>
          </cell>
          <cell r="E15" t="str">
            <v>Procurement</v>
          </cell>
          <cell r="G15" t="str">
            <v>Lighting Equip</v>
          </cell>
          <cell r="H15" t="str">
            <v>Month(s)</v>
          </cell>
        </row>
        <row r="16">
          <cell r="A16" t="str">
            <v>Sierra Leone</v>
          </cell>
          <cell r="D16" t="str">
            <v>Curriculum Rev</v>
          </cell>
          <cell r="G16" t="str">
            <v>Local Transport</v>
          </cell>
          <cell r="H16" t="str">
            <v>Person(s)</v>
          </cell>
        </row>
        <row r="17">
          <cell r="A17" t="str">
            <v>Swaziland</v>
          </cell>
          <cell r="D17" t="str">
            <v>Faculty Dev</v>
          </cell>
          <cell r="G17" t="str">
            <v>Misc Travel Exp</v>
          </cell>
          <cell r="H17" t="str">
            <v>Projector(s)</v>
          </cell>
        </row>
        <row r="18">
          <cell r="A18" t="str">
            <v>Tanzania</v>
          </cell>
          <cell r="D18" t="str">
            <v>Grant-Writing</v>
          </cell>
          <cell r="G18" t="str">
            <v>Office Supplies</v>
          </cell>
          <cell r="H18" t="str">
            <v>RT Ticket(s)</v>
          </cell>
        </row>
        <row r="19">
          <cell r="A19" t="str">
            <v>Ukraine</v>
          </cell>
          <cell r="D19" t="str">
            <v>Hematology</v>
          </cell>
          <cell r="G19" t="str">
            <v>Participant Housing</v>
          </cell>
          <cell r="H19" t="str">
            <v>Salary Cost</v>
          </cell>
        </row>
        <row r="20">
          <cell r="A20" t="str">
            <v>Vietnam</v>
          </cell>
          <cell r="D20" t="str">
            <v>INS</v>
          </cell>
          <cell r="G20" t="str">
            <v>Participant Per Diem</v>
          </cell>
          <cell r="H20" t="str">
            <v>Salary Allocation</v>
          </cell>
        </row>
        <row r="21">
          <cell r="A21" t="str">
            <v>Headquarters</v>
          </cell>
          <cell r="D21" t="str">
            <v>Lab Assn</v>
          </cell>
          <cell r="G21" t="str">
            <v>Participant Transport</v>
          </cell>
          <cell r="H21" t="str">
            <v>Total Budget</v>
          </cell>
        </row>
        <row r="22">
          <cell r="D22" t="str">
            <v>Lab Partners'</v>
          </cell>
          <cell r="G22" t="str">
            <v>Per Diem - Full</v>
          </cell>
          <cell r="H22" t="str">
            <v>Word(s)</v>
          </cell>
        </row>
        <row r="23">
          <cell r="D23" t="str">
            <v>Lab Strengthening</v>
          </cell>
          <cell r="G23" t="str">
            <v>Per Diem - M&amp;IE</v>
          </cell>
        </row>
        <row r="24">
          <cell r="D24" t="str">
            <v>M&amp;E</v>
          </cell>
          <cell r="G24" t="str">
            <v>Phleb Supplies</v>
          </cell>
        </row>
        <row r="25">
          <cell r="D25" t="str">
            <v>Needs</v>
          </cell>
          <cell r="G25" t="str">
            <v>Phone/ Internet</v>
          </cell>
        </row>
        <row r="26">
          <cell r="D26" t="str">
            <v>Off Site Rate at 28.6%</v>
          </cell>
          <cell r="G26" t="str">
            <v>Photocopying</v>
          </cell>
        </row>
        <row r="27">
          <cell r="D27" t="str">
            <v>Phlebotomy</v>
          </cell>
          <cell r="G27" t="str">
            <v>Postage</v>
          </cell>
        </row>
        <row r="28">
          <cell r="D28" t="str">
            <v>Post</v>
          </cell>
          <cell r="G28" t="str">
            <v>Rate at 28.6%</v>
          </cell>
        </row>
        <row r="29">
          <cell r="D29" t="str">
            <v>Post-Stakeholders'</v>
          </cell>
          <cell r="G29" t="str">
            <v xml:space="preserve">Printed Mtl </v>
          </cell>
        </row>
        <row r="30">
          <cell r="D30" t="str">
            <v>Pre</v>
          </cell>
          <cell r="G30" t="str">
            <v>Salaries &amp; Wages</v>
          </cell>
        </row>
        <row r="31">
          <cell r="D31" t="str">
            <v>Pre-Service</v>
          </cell>
          <cell r="G31" t="str">
            <v>Shipping Costs</v>
          </cell>
        </row>
        <row r="32">
          <cell r="D32" t="str">
            <v>Pre-Stakeholders'</v>
          </cell>
          <cell r="G32" t="str">
            <v>Teaching Aids</v>
          </cell>
        </row>
        <row r="33">
          <cell r="D33" t="str">
            <v>Procurement</v>
          </cell>
          <cell r="G33" t="str">
            <v>Text Books</v>
          </cell>
        </row>
        <row r="34">
          <cell r="D34" t="str">
            <v>QA</v>
          </cell>
          <cell r="G34" t="str">
            <v>Tote Bags</v>
          </cell>
        </row>
        <row r="35">
          <cell r="D35" t="str">
            <v>QA/ QC</v>
          </cell>
          <cell r="G35" t="str">
            <v>Translate In-Country</v>
          </cell>
        </row>
        <row r="36">
          <cell r="D36" t="str">
            <v>QC</v>
          </cell>
          <cell r="G36" t="str">
            <v>Translate Printed Mtl</v>
          </cell>
        </row>
        <row r="37">
          <cell r="D37" t="str">
            <v>Sit. Analysis</v>
          </cell>
          <cell r="G37" t="str">
            <v>Venue</v>
          </cell>
        </row>
        <row r="38">
          <cell r="D38" t="str">
            <v>SLMTA</v>
          </cell>
          <cell r="G38" t="str">
            <v>Video Equip Rental</v>
          </cell>
        </row>
        <row r="39">
          <cell r="D39" t="str">
            <v>SLMTA 1</v>
          </cell>
        </row>
        <row r="40">
          <cell r="D40" t="str">
            <v>SLMTA 2</v>
          </cell>
        </row>
        <row r="41">
          <cell r="D41" t="str">
            <v>SLMTA 3</v>
          </cell>
        </row>
        <row r="42">
          <cell r="D42" t="str">
            <v>SLMTA 4</v>
          </cell>
        </row>
        <row r="43">
          <cell r="D43" t="str">
            <v>SLMTA Planning</v>
          </cell>
        </row>
        <row r="44">
          <cell r="D44" t="str">
            <v>Stakeholders'</v>
          </cell>
        </row>
        <row r="45">
          <cell r="D45" t="str">
            <v>Strat. Planning</v>
          </cell>
        </row>
        <row r="46">
          <cell r="D46" t="str">
            <v>Sub-Contract</v>
          </cell>
        </row>
        <row r="47">
          <cell r="D47" t="str">
            <v>TB Equipment</v>
          </cell>
        </row>
        <row r="48">
          <cell r="D48" t="str">
            <v>Teaching Method</v>
          </cell>
        </row>
        <row r="49">
          <cell r="D49" t="str">
            <v>Tech Assist</v>
          </cell>
        </row>
      </sheetData>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
      <sheetName val="Summary"/>
      <sheetName val="Pact Details"/>
      <sheetName val="Pact Travel"/>
      <sheetName val="Pact Activities"/>
      <sheetName val="LOE Policy"/>
      <sheetName val="IT Policy"/>
      <sheetName val="IT Pricing List"/>
      <sheetName val="Pact Cost Allocation Method "/>
      <sheetName val="Cost Assumptions"/>
      <sheetName val="Cost Share"/>
      <sheetName val="ODA Summary"/>
      <sheetName val="ODA Detail"/>
      <sheetName val="ODA Travel"/>
      <sheetName val="ODA Activities"/>
      <sheetName val="ODA Cost Allocation Method"/>
      <sheetName val="ADA Summary"/>
      <sheetName val="ADA Detail"/>
      <sheetName val="ADA Travel"/>
      <sheetName val="ADA Activities"/>
      <sheetName val="ADA Cost Allocation Method"/>
      <sheetName val="REST Summary"/>
      <sheetName val="REST Detail"/>
      <sheetName val="REST Travel"/>
      <sheetName val="REST Activities"/>
      <sheetName val="REST Cost Allocation Method"/>
      <sheetName val="SEPDA Summary"/>
      <sheetName val="SEPDA Detail"/>
      <sheetName val="SEPDA Travel"/>
      <sheetName val="SEPDA Activities"/>
      <sheetName val="SEPDA Cost Allocation Method"/>
      <sheetName val="SAAD Summary"/>
      <sheetName val="SAAD Detail"/>
      <sheetName val="SAAD Travel"/>
      <sheetName val="SAAD Activities"/>
      <sheetName val="SAAD Cost Allocation Method"/>
      <sheetName val="SF424"/>
      <sheetName val="SF424A1"/>
      <sheetName val="SF424A2"/>
      <sheetName val="Instructions_"/>
      <sheetName val="Pact_Details"/>
      <sheetName val="Pact_Travel"/>
      <sheetName val="Pact_Activities"/>
      <sheetName val="LOE_Policy"/>
      <sheetName val="IT_Policy"/>
      <sheetName val="IT_Pricing_List"/>
      <sheetName val="Pact_Cost_Allocation_Method_"/>
      <sheetName val="Cost_Assumptions"/>
      <sheetName val="Cost_Share"/>
      <sheetName val="ODA_Summary"/>
      <sheetName val="ODA_Detail"/>
      <sheetName val="ODA_Travel"/>
      <sheetName val="ODA_Activities"/>
      <sheetName val="ODA_Cost_Allocation_Method"/>
      <sheetName val="ADA_Summary"/>
      <sheetName val="ADA_Detail"/>
      <sheetName val="ADA_Travel"/>
      <sheetName val="ADA_Activities"/>
      <sheetName val="ADA_Cost_Allocation_Method"/>
      <sheetName val="REST_Summary"/>
      <sheetName val="REST_Detail"/>
      <sheetName val="REST_Travel"/>
      <sheetName val="REST_Activities"/>
      <sheetName val="REST_Cost_Allocation_Method"/>
      <sheetName val="SEPDA_Summary"/>
      <sheetName val="SEPDA_Detail"/>
      <sheetName val="SEPDA_Travel"/>
      <sheetName val="SEPDA_Activities"/>
      <sheetName val="SEPDA_Cost_Allocation_Method"/>
      <sheetName val="SAAD_Summary"/>
      <sheetName val="SAAD_Detail"/>
      <sheetName val="SAAD_Travel"/>
      <sheetName val="SAAD_Activities"/>
      <sheetName val="SAAD_Cost_Allocation_Method"/>
    </sheetNames>
    <sheetDataSet>
      <sheetData sheetId="0"/>
      <sheetData sheetId="1">
        <row r="30">
          <cell r="H30">
            <v>4076056.2703472306</v>
          </cell>
        </row>
      </sheetData>
      <sheetData sheetId="2">
        <row r="11">
          <cell r="D11">
            <v>18.7</v>
          </cell>
        </row>
      </sheetData>
      <sheetData sheetId="3"/>
      <sheetData sheetId="4"/>
      <sheetData sheetId="5"/>
      <sheetData sheetId="6"/>
      <sheetData sheetId="7"/>
      <sheetData sheetId="8"/>
      <sheetData sheetId="9"/>
      <sheetData sheetId="10"/>
      <sheetData sheetId="11"/>
      <sheetData sheetId="12">
        <row r="15">
          <cell r="AW15">
            <v>1.05</v>
          </cell>
        </row>
        <row r="17">
          <cell r="D17">
            <v>545</v>
          </cell>
          <cell r="E17">
            <v>109</v>
          </cell>
          <cell r="F17">
            <v>37</v>
          </cell>
        </row>
      </sheetData>
      <sheetData sheetId="13"/>
      <sheetData sheetId="14"/>
      <sheetData sheetId="15"/>
      <sheetData sheetId="16"/>
      <sheetData sheetId="17">
        <row r="14">
          <cell r="D14">
            <v>340</v>
          </cell>
          <cell r="E14">
            <v>68</v>
          </cell>
          <cell r="F14">
            <v>23</v>
          </cell>
        </row>
      </sheetData>
      <sheetData sheetId="18"/>
      <sheetData sheetId="19"/>
      <sheetData sheetId="20"/>
      <sheetData sheetId="21"/>
      <sheetData sheetId="22">
        <row r="14">
          <cell r="D14">
            <v>93</v>
          </cell>
          <cell r="E14">
            <v>19</v>
          </cell>
          <cell r="F14">
            <v>7</v>
          </cell>
        </row>
      </sheetData>
      <sheetData sheetId="23"/>
      <sheetData sheetId="24"/>
      <sheetData sheetId="25"/>
      <sheetData sheetId="26"/>
      <sheetData sheetId="27">
        <row r="14">
          <cell r="D14">
            <v>79</v>
          </cell>
          <cell r="E14">
            <v>16</v>
          </cell>
          <cell r="F14">
            <v>6</v>
          </cell>
        </row>
      </sheetData>
      <sheetData sheetId="28"/>
      <sheetData sheetId="29"/>
      <sheetData sheetId="30"/>
      <sheetData sheetId="31"/>
      <sheetData sheetId="32">
        <row r="14">
          <cell r="D14">
            <v>43</v>
          </cell>
          <cell r="E14">
            <v>9</v>
          </cell>
          <cell r="F14">
            <v>3</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17">
          <cell r="D17">
            <v>545</v>
          </cell>
        </row>
      </sheetData>
      <sheetData sheetId="51"/>
      <sheetData sheetId="52"/>
      <sheetData sheetId="53"/>
      <sheetData sheetId="54"/>
      <sheetData sheetId="55">
        <row r="14">
          <cell r="D14">
            <v>340</v>
          </cell>
        </row>
      </sheetData>
      <sheetData sheetId="56"/>
      <sheetData sheetId="57"/>
      <sheetData sheetId="58"/>
      <sheetData sheetId="59"/>
      <sheetData sheetId="60">
        <row r="14">
          <cell r="D14">
            <v>93</v>
          </cell>
        </row>
      </sheetData>
      <sheetData sheetId="61"/>
      <sheetData sheetId="62"/>
      <sheetData sheetId="63"/>
      <sheetData sheetId="64"/>
      <sheetData sheetId="65">
        <row r="14">
          <cell r="D14">
            <v>79</v>
          </cell>
        </row>
      </sheetData>
      <sheetData sheetId="66"/>
      <sheetData sheetId="67"/>
      <sheetData sheetId="68"/>
      <sheetData sheetId="69"/>
      <sheetData sheetId="70">
        <row r="14">
          <cell r="D14">
            <v>43</v>
          </cell>
        </row>
      </sheetData>
      <sheetData sheetId="71"/>
      <sheetData sheetId="72"/>
      <sheetData sheetId="7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Page"/>
      <sheetName val="Detailed Budget"/>
      <sheetName val="Summary Budget"/>
      <sheetName val="Instructions"/>
      <sheetName val="Summary Pact"/>
      <sheetName val="Detail Pact"/>
      <sheetName val="Travel"/>
      <sheetName val="Activities Pact"/>
      <sheetName val="Workshops"/>
      <sheetName val="IT Policy"/>
      <sheetName val="IT Pricing List"/>
      <sheetName val="LOE Policy"/>
      <sheetName val="SF424"/>
      <sheetName val="SF424A1"/>
      <sheetName val="SF424A2"/>
      <sheetName val="Est Year 1"/>
      <sheetName val="Est Year 2"/>
      <sheetName val="Est Year 3"/>
      <sheetName val="Est Year 4"/>
      <sheetName val="Est Year 5"/>
      <sheetName val="Import Estimated Budget"/>
      <sheetName val="Detail Pact kfw"/>
    </sheetNames>
    <sheetDataSet>
      <sheetData sheetId="0" refreshError="1">
        <row r="3">
          <cell r="A3">
            <v>0.08</v>
          </cell>
        </row>
        <row r="4">
          <cell r="A4">
            <v>0</v>
          </cell>
        </row>
        <row r="5">
          <cell r="A5">
            <v>0.32</v>
          </cell>
        </row>
        <row r="7">
          <cell r="A7">
            <v>0.4945</v>
          </cell>
        </row>
        <row r="8">
          <cell r="A8">
            <v>0.25</v>
          </cell>
        </row>
        <row r="9">
          <cell r="A9">
            <v>0</v>
          </cell>
        </row>
        <row r="10">
          <cell r="A10">
            <v>0</v>
          </cell>
        </row>
        <row r="11">
          <cell r="A11">
            <v>0</v>
          </cell>
        </row>
        <row r="12">
          <cell r="A12">
            <v>0</v>
          </cell>
        </row>
        <row r="13">
          <cell r="A13">
            <v>0</v>
          </cell>
        </row>
        <row r="14">
          <cell r="A14">
            <v>0</v>
          </cell>
        </row>
        <row r="15">
          <cell r="A15">
            <v>0</v>
          </cell>
        </row>
        <row r="16">
          <cell r="A16">
            <v>0</v>
          </cell>
        </row>
        <row r="17">
          <cell r="A17">
            <v>0</v>
          </cell>
        </row>
        <row r="18">
          <cell r="A18">
            <v>0</v>
          </cell>
        </row>
        <row r="19">
          <cell r="A19">
            <v>0</v>
          </cell>
        </row>
        <row r="20">
          <cell r="A20">
            <v>0</v>
          </cell>
        </row>
        <row r="21">
          <cell r="A21">
            <v>0</v>
          </cell>
        </row>
        <row r="22">
          <cell r="A22">
            <v>0</v>
          </cell>
        </row>
        <row r="23">
          <cell r="A23">
            <v>18080.899999999998</v>
          </cell>
        </row>
        <row r="24">
          <cell r="A24">
            <v>0</v>
          </cell>
        </row>
        <row r="25">
          <cell r="A25">
            <v>0</v>
          </cell>
        </row>
        <row r="26">
          <cell r="A26">
            <v>0</v>
          </cell>
        </row>
        <row r="27">
          <cell r="A27">
            <v>0</v>
          </cell>
        </row>
        <row r="28">
          <cell r="A28">
            <v>0</v>
          </cell>
        </row>
        <row r="29">
          <cell r="A29">
            <v>0</v>
          </cell>
        </row>
        <row r="30">
          <cell r="A30">
            <v>0</v>
          </cell>
        </row>
        <row r="31">
          <cell r="A31">
            <v>0.02</v>
          </cell>
        </row>
        <row r="33">
          <cell r="A33">
            <v>0</v>
          </cell>
        </row>
        <row r="34">
          <cell r="A34">
            <v>0.08</v>
          </cell>
        </row>
        <row r="36">
          <cell r="A36">
            <v>1.05</v>
          </cell>
        </row>
        <row r="37">
          <cell r="A37">
            <v>1.1025</v>
          </cell>
        </row>
        <row r="38">
          <cell r="A38">
            <v>1.1576250000000001</v>
          </cell>
        </row>
        <row r="39">
          <cell r="A39">
            <v>1.2155062500000002</v>
          </cell>
        </row>
        <row r="41">
          <cell r="A41">
            <v>1.05</v>
          </cell>
        </row>
        <row r="42">
          <cell r="A42">
            <v>1.1025</v>
          </cell>
        </row>
        <row r="43">
          <cell r="A43">
            <v>1.1576250000000001</v>
          </cell>
        </row>
        <row r="44">
          <cell r="A44">
            <v>1.2155062500000002</v>
          </cell>
        </row>
      </sheetData>
      <sheetData sheetId="1"/>
      <sheetData sheetId="2"/>
      <sheetData sheetId="3"/>
      <sheetData sheetId="4">
        <row r="6">
          <cell r="C6" t="str">
            <v>KfW</v>
          </cell>
        </row>
      </sheetData>
      <sheetData sheetId="5"/>
      <sheetData sheetId="6">
        <row r="11">
          <cell r="I11">
            <v>2500</v>
          </cell>
        </row>
      </sheetData>
      <sheetData sheetId="7">
        <row r="21">
          <cell r="H21">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1. SUMMARY"/>
      <sheetName val="2. PERSONNEL"/>
      <sheetName val="3. NON-PERSONNEL EXPENSES"/>
      <sheetName val="4. SUBAWARDS"/>
      <sheetName val="5. CUMULATIVE BUDGET"/>
      <sheetName val="6. Notes Tab"/>
      <sheetName val="7. Modular Budget"/>
      <sheetName val="Sheet1"/>
      <sheetName val=" Training"/>
      <sheetName val="7. Drop Down Menu Templates"/>
      <sheetName val="Trainings &amp; Meetings"/>
      <sheetName val="1__SUMMARY"/>
      <sheetName val="2__PERSONNEL"/>
      <sheetName val="3__NON-PERSONNEL_EXPENSES"/>
      <sheetName val="4__SUBAWARDS"/>
      <sheetName val="5__CUMULATIVE_BUDGET"/>
      <sheetName val="6__Notes_Tab"/>
      <sheetName val="7__Modular_Budget"/>
      <sheetName val="_Training"/>
      <sheetName val="7__Drop_Down_Menu_Templates"/>
      <sheetName val="Trainings_&amp;_Meetings"/>
      <sheetName val="Dropdown"/>
    </sheetNames>
    <sheetDataSet>
      <sheetData sheetId="0">
        <row r="3">
          <cell r="A3" t="str">
            <v>Select Here</v>
          </cell>
        </row>
      </sheetData>
      <sheetData sheetId="1">
        <row r="13">
          <cell r="C13" t="str">
            <v>Rochelle P Walensky MD, MPH</v>
          </cell>
        </row>
        <row r="14">
          <cell r="C14" t="str">
            <v>MGH</v>
          </cell>
        </row>
      </sheetData>
      <sheetData sheetId="2">
        <row r="10">
          <cell r="A10" t="str">
            <v>Rochelle P Walensky MD, MPH</v>
          </cell>
          <cell r="B10" t="str">
            <v>PI</v>
          </cell>
          <cell r="C10" t="str">
            <v>Professional Staff</v>
          </cell>
          <cell r="D10">
            <v>0.08</v>
          </cell>
          <cell r="E10">
            <v>0.96</v>
          </cell>
          <cell r="F10">
            <v>199700</v>
          </cell>
          <cell r="Z10" t="str">
            <v>Rochelle P Walensky MD, MPH</v>
          </cell>
        </row>
        <row r="11">
          <cell r="A11" t="str">
            <v>Kenneth A Freedberg MD, MSc</v>
          </cell>
          <cell r="B11" t="str">
            <v>Co-PI</v>
          </cell>
          <cell r="C11" t="str">
            <v>Professional Staff</v>
          </cell>
          <cell r="D11">
            <v>0.05</v>
          </cell>
          <cell r="E11">
            <v>0.60000000000000009</v>
          </cell>
          <cell r="F11">
            <v>199700</v>
          </cell>
          <cell r="Z11" t="str">
            <v>Kenneth A Freedberg MD, MSc</v>
          </cell>
        </row>
        <row r="12">
          <cell r="A12" t="str">
            <v>TBA</v>
          </cell>
          <cell r="B12" t="str">
            <v>Junior Faculty</v>
          </cell>
          <cell r="C12" t="str">
            <v>Professional Staff</v>
          </cell>
          <cell r="D12">
            <v>0.4</v>
          </cell>
          <cell r="E12">
            <v>4.8000000000000007</v>
          </cell>
          <cell r="F12">
            <v>105000</v>
          </cell>
          <cell r="Z12" t="str">
            <v>TBA</v>
          </cell>
        </row>
        <row r="13">
          <cell r="A13" t="str">
            <v>Ingrid V Bassett MD, MPH</v>
          </cell>
          <cell r="B13" t="str">
            <v>Co-PI</v>
          </cell>
          <cell r="C13" t="str">
            <v>Professional Staff</v>
          </cell>
          <cell r="D13">
            <v>0.1</v>
          </cell>
          <cell r="E13">
            <v>1.2000000000000002</v>
          </cell>
          <cell r="F13">
            <v>133900</v>
          </cell>
          <cell r="Z13" t="str">
            <v>Ingrid V Bassett MD, MPH</v>
          </cell>
        </row>
        <row r="14">
          <cell r="A14" t="str">
            <v>TBA</v>
          </cell>
          <cell r="B14" t="str">
            <v>Programmer</v>
          </cell>
          <cell r="C14" t="str">
            <v>Non-Professional Staff</v>
          </cell>
          <cell r="D14">
            <v>0.25</v>
          </cell>
          <cell r="E14">
            <v>3</v>
          </cell>
          <cell r="F14">
            <v>70000</v>
          </cell>
          <cell r="Z14" t="str">
            <v>TBA</v>
          </cell>
        </row>
        <row r="15">
          <cell r="A15" t="str">
            <v>Farzad Noubary</v>
          </cell>
          <cell r="B15" t="str">
            <v>Biostatistician</v>
          </cell>
          <cell r="C15" t="str">
            <v>Non-Professional Staff</v>
          </cell>
          <cell r="D15">
            <v>0.25</v>
          </cell>
          <cell r="E15">
            <v>3</v>
          </cell>
          <cell r="F15">
            <v>71000</v>
          </cell>
          <cell r="Z15" t="str">
            <v>Farzad Noubary</v>
          </cell>
        </row>
        <row r="16">
          <cell r="A16" t="str">
            <v>Naishin Fu</v>
          </cell>
          <cell r="B16" t="str">
            <v>Project Coordinator</v>
          </cell>
          <cell r="C16" t="str">
            <v>Non-Professional Staff</v>
          </cell>
          <cell r="D16">
            <v>0.1</v>
          </cell>
          <cell r="E16">
            <v>1.2000000000000002</v>
          </cell>
          <cell r="F16">
            <v>58000</v>
          </cell>
          <cell r="Z16" t="str">
            <v>Naishin Fu</v>
          </cell>
        </row>
        <row r="17">
          <cell r="A17" t="str">
            <v>TBN</v>
          </cell>
          <cell r="B17" t="str">
            <v>Research Assistant</v>
          </cell>
          <cell r="C17" t="str">
            <v>Non-Professional Staff</v>
          </cell>
          <cell r="D17">
            <v>0.5</v>
          </cell>
          <cell r="E17">
            <v>6</v>
          </cell>
          <cell r="F17">
            <v>33500</v>
          </cell>
          <cell r="Z17" t="str">
            <v>TBN</v>
          </cell>
        </row>
        <row r="18">
          <cell r="E18">
            <v>0</v>
          </cell>
          <cell r="F18">
            <v>0</v>
          </cell>
          <cell r="Z18">
            <v>0</v>
          </cell>
        </row>
        <row r="19">
          <cell r="E19">
            <v>0</v>
          </cell>
          <cell r="F19">
            <v>0</v>
          </cell>
          <cell r="Z19">
            <v>0</v>
          </cell>
        </row>
        <row r="20">
          <cell r="E20">
            <v>0</v>
          </cell>
          <cell r="F20">
            <v>0</v>
          </cell>
          <cell r="Z20">
            <v>0</v>
          </cell>
        </row>
        <row r="21">
          <cell r="E21">
            <v>0</v>
          </cell>
          <cell r="F21">
            <v>0</v>
          </cell>
          <cell r="Z21">
            <v>0</v>
          </cell>
        </row>
        <row r="22">
          <cell r="E22">
            <v>0</v>
          </cell>
          <cell r="F22">
            <v>0</v>
          </cell>
          <cell r="Z22">
            <v>0</v>
          </cell>
        </row>
        <row r="23">
          <cell r="E23">
            <v>0</v>
          </cell>
          <cell r="F23">
            <v>0</v>
          </cell>
          <cell r="Z23">
            <v>0</v>
          </cell>
        </row>
        <row r="24">
          <cell r="E24">
            <v>0</v>
          </cell>
          <cell r="F24">
            <v>0</v>
          </cell>
          <cell r="Z24">
            <v>0</v>
          </cell>
        </row>
        <row r="25">
          <cell r="E25">
            <v>0</v>
          </cell>
          <cell r="F25">
            <v>0</v>
          </cell>
          <cell r="Z25">
            <v>0</v>
          </cell>
        </row>
        <row r="26">
          <cell r="E26">
            <v>0</v>
          </cell>
          <cell r="F26">
            <v>0</v>
          </cell>
          <cell r="Z26">
            <v>0</v>
          </cell>
        </row>
        <row r="27">
          <cell r="E27">
            <v>0</v>
          </cell>
          <cell r="F27">
            <v>0</v>
          </cell>
          <cell r="Z27">
            <v>0</v>
          </cell>
        </row>
        <row r="28">
          <cell r="E28">
            <v>0</v>
          </cell>
          <cell r="F28">
            <v>0</v>
          </cell>
          <cell r="Z28">
            <v>0</v>
          </cell>
        </row>
        <row r="29">
          <cell r="E29">
            <v>0</v>
          </cell>
          <cell r="F29">
            <v>0</v>
          </cell>
          <cell r="Z29">
            <v>0</v>
          </cell>
        </row>
        <row r="30">
          <cell r="E30">
            <v>0</v>
          </cell>
          <cell r="F30">
            <v>0</v>
          </cell>
          <cell r="Z30">
            <v>0</v>
          </cell>
        </row>
        <row r="31">
          <cell r="E31">
            <v>0</v>
          </cell>
          <cell r="F31">
            <v>0</v>
          </cell>
          <cell r="Z31">
            <v>0</v>
          </cell>
        </row>
        <row r="32">
          <cell r="E32">
            <v>0</v>
          </cell>
          <cell r="F32">
            <v>0</v>
          </cell>
          <cell r="Z32">
            <v>0</v>
          </cell>
        </row>
        <row r="33">
          <cell r="E33">
            <v>0</v>
          </cell>
          <cell r="F33">
            <v>0</v>
          </cell>
          <cell r="Z33">
            <v>0</v>
          </cell>
        </row>
        <row r="34">
          <cell r="E34">
            <v>0</v>
          </cell>
          <cell r="F34">
            <v>0</v>
          </cell>
          <cell r="Z34">
            <v>0</v>
          </cell>
        </row>
        <row r="42">
          <cell r="A42" t="str">
            <v>Rochelle P Walensky MD, MPH</v>
          </cell>
          <cell r="B42" t="str">
            <v>PI</v>
          </cell>
          <cell r="C42" t="str">
            <v>Professional Staff</v>
          </cell>
          <cell r="D42">
            <v>0.08</v>
          </cell>
          <cell r="E42">
            <v>0.96</v>
          </cell>
          <cell r="F42">
            <v>0</v>
          </cell>
        </row>
        <row r="43">
          <cell r="A43" t="str">
            <v>Kenneth A Freedberg MD, MSc</v>
          </cell>
          <cell r="B43" t="str">
            <v>Co-PI</v>
          </cell>
          <cell r="C43" t="str">
            <v>Professional Staff</v>
          </cell>
          <cell r="D43">
            <v>0.05</v>
          </cell>
          <cell r="E43">
            <v>0.60000000000000009</v>
          </cell>
          <cell r="F43">
            <v>0</v>
          </cell>
        </row>
        <row r="44">
          <cell r="A44" t="str">
            <v>TBA</v>
          </cell>
          <cell r="B44" t="str">
            <v>Junior Faculty</v>
          </cell>
          <cell r="C44" t="str">
            <v>Professional Staff</v>
          </cell>
          <cell r="D44">
            <v>0.4</v>
          </cell>
          <cell r="E44">
            <v>4.8000000000000007</v>
          </cell>
          <cell r="F44">
            <v>0</v>
          </cell>
        </row>
        <row r="45">
          <cell r="A45" t="str">
            <v>Ingrid V Bassett MD, MPH</v>
          </cell>
          <cell r="B45" t="str">
            <v>Co-PI</v>
          </cell>
          <cell r="C45" t="str">
            <v>Professional Staff</v>
          </cell>
          <cell r="D45">
            <v>0.1</v>
          </cell>
          <cell r="E45">
            <v>1.2000000000000002</v>
          </cell>
          <cell r="F45">
            <v>0</v>
          </cell>
        </row>
        <row r="46">
          <cell r="A46" t="str">
            <v>TBA</v>
          </cell>
          <cell r="B46" t="str">
            <v>Junior Faculty</v>
          </cell>
          <cell r="C46" t="str">
            <v>Professional Staff</v>
          </cell>
          <cell r="D46">
            <v>0.4</v>
          </cell>
          <cell r="E46">
            <v>4.8000000000000007</v>
          </cell>
          <cell r="F46">
            <v>0</v>
          </cell>
        </row>
        <row r="47">
          <cell r="A47" t="str">
            <v>Farzad Noubary</v>
          </cell>
          <cell r="B47" t="str">
            <v>Biostatistician</v>
          </cell>
          <cell r="C47" t="str">
            <v>Non-Professional Staff</v>
          </cell>
          <cell r="D47">
            <v>0.25</v>
          </cell>
          <cell r="E47">
            <v>3</v>
          </cell>
          <cell r="F47">
            <v>0</v>
          </cell>
        </row>
        <row r="48">
          <cell r="A48" t="str">
            <v>Naishin Fu</v>
          </cell>
          <cell r="B48" t="str">
            <v>Project Coordinator</v>
          </cell>
          <cell r="C48" t="str">
            <v>Non-Professional Staff</v>
          </cell>
          <cell r="D48">
            <v>0.1</v>
          </cell>
          <cell r="E48">
            <v>1.2000000000000002</v>
          </cell>
          <cell r="F48">
            <v>0</v>
          </cell>
        </row>
        <row r="49">
          <cell r="A49" t="str">
            <v>TBN</v>
          </cell>
          <cell r="B49" t="str">
            <v>Research Assistant</v>
          </cell>
          <cell r="C49" t="str">
            <v>Non-Professional Staff</v>
          </cell>
          <cell r="D49">
            <v>0.5</v>
          </cell>
          <cell r="E49">
            <v>6</v>
          </cell>
          <cell r="F49">
            <v>0</v>
          </cell>
        </row>
        <row r="50">
          <cell r="A50">
            <v>0</v>
          </cell>
          <cell r="B50">
            <v>0</v>
          </cell>
          <cell r="C50">
            <v>0</v>
          </cell>
          <cell r="D50">
            <v>0</v>
          </cell>
          <cell r="E50">
            <v>0</v>
          </cell>
          <cell r="F50">
            <v>0</v>
          </cell>
        </row>
        <row r="51">
          <cell r="A51">
            <v>0</v>
          </cell>
          <cell r="B51">
            <v>0</v>
          </cell>
          <cell r="C51">
            <v>0</v>
          </cell>
          <cell r="D51">
            <v>0</v>
          </cell>
          <cell r="E51">
            <v>0</v>
          </cell>
          <cell r="F51">
            <v>0</v>
          </cell>
        </row>
        <row r="52">
          <cell r="A52">
            <v>0</v>
          </cell>
          <cell r="B52">
            <v>0</v>
          </cell>
          <cell r="C52">
            <v>0</v>
          </cell>
          <cell r="D52">
            <v>0</v>
          </cell>
          <cell r="E52">
            <v>0</v>
          </cell>
          <cell r="F52">
            <v>0</v>
          </cell>
        </row>
        <row r="53">
          <cell r="A53">
            <v>0</v>
          </cell>
          <cell r="B53">
            <v>0</v>
          </cell>
          <cell r="C53">
            <v>0</v>
          </cell>
          <cell r="D53">
            <v>0</v>
          </cell>
          <cell r="E53">
            <v>0</v>
          </cell>
          <cell r="F53">
            <v>0</v>
          </cell>
        </row>
        <row r="54">
          <cell r="A54">
            <v>0</v>
          </cell>
          <cell r="B54">
            <v>0</v>
          </cell>
          <cell r="C54">
            <v>0</v>
          </cell>
          <cell r="D54">
            <v>0</v>
          </cell>
          <cell r="E54">
            <v>0</v>
          </cell>
          <cell r="F54">
            <v>0</v>
          </cell>
        </row>
        <row r="55">
          <cell r="A55">
            <v>0</v>
          </cell>
          <cell r="B55">
            <v>0</v>
          </cell>
          <cell r="C55">
            <v>0</v>
          </cell>
          <cell r="D55">
            <v>0</v>
          </cell>
          <cell r="E55">
            <v>0</v>
          </cell>
          <cell r="F55">
            <v>0</v>
          </cell>
        </row>
        <row r="56">
          <cell r="A56">
            <v>0</v>
          </cell>
          <cell r="B56">
            <v>0</v>
          </cell>
          <cell r="C56">
            <v>0</v>
          </cell>
          <cell r="D56">
            <v>0</v>
          </cell>
          <cell r="E56">
            <v>0</v>
          </cell>
          <cell r="F56">
            <v>0</v>
          </cell>
        </row>
        <row r="57">
          <cell r="A57">
            <v>0</v>
          </cell>
          <cell r="B57">
            <v>0</v>
          </cell>
          <cell r="C57">
            <v>0</v>
          </cell>
          <cell r="D57">
            <v>0</v>
          </cell>
          <cell r="E57">
            <v>0</v>
          </cell>
          <cell r="F57">
            <v>0</v>
          </cell>
        </row>
        <row r="58">
          <cell r="A58">
            <v>0</v>
          </cell>
          <cell r="B58">
            <v>0</v>
          </cell>
          <cell r="C58">
            <v>0</v>
          </cell>
          <cell r="D58">
            <v>0</v>
          </cell>
          <cell r="E58">
            <v>0</v>
          </cell>
          <cell r="F58">
            <v>0</v>
          </cell>
        </row>
        <row r="59">
          <cell r="A59">
            <v>0</v>
          </cell>
          <cell r="B59">
            <v>0</v>
          </cell>
          <cell r="C59">
            <v>0</v>
          </cell>
          <cell r="D59">
            <v>0</v>
          </cell>
          <cell r="E59">
            <v>0</v>
          </cell>
          <cell r="F59">
            <v>0</v>
          </cell>
        </row>
        <row r="60">
          <cell r="A60">
            <v>0</v>
          </cell>
          <cell r="B60">
            <v>0</v>
          </cell>
          <cell r="C60">
            <v>0</v>
          </cell>
          <cell r="D60">
            <v>0</v>
          </cell>
          <cell r="E60">
            <v>0</v>
          </cell>
          <cell r="F60">
            <v>0</v>
          </cell>
        </row>
        <row r="61">
          <cell r="A61">
            <v>0</v>
          </cell>
          <cell r="B61">
            <v>0</v>
          </cell>
          <cell r="C61">
            <v>0</v>
          </cell>
          <cell r="D61">
            <v>0</v>
          </cell>
          <cell r="E61">
            <v>0</v>
          </cell>
          <cell r="F61">
            <v>0</v>
          </cell>
        </row>
        <row r="62">
          <cell r="A62">
            <v>0</v>
          </cell>
          <cell r="B62">
            <v>0</v>
          </cell>
          <cell r="C62">
            <v>0</v>
          </cell>
          <cell r="D62">
            <v>0</v>
          </cell>
          <cell r="E62">
            <v>0</v>
          </cell>
          <cell r="F62">
            <v>0</v>
          </cell>
        </row>
        <row r="63">
          <cell r="A63">
            <v>0</v>
          </cell>
          <cell r="B63">
            <v>0</v>
          </cell>
          <cell r="C63">
            <v>0</v>
          </cell>
          <cell r="D63">
            <v>0</v>
          </cell>
          <cell r="E63">
            <v>0</v>
          </cell>
          <cell r="F63">
            <v>0</v>
          </cell>
        </row>
        <row r="64">
          <cell r="A64">
            <v>0</v>
          </cell>
          <cell r="B64">
            <v>0</v>
          </cell>
          <cell r="C64">
            <v>0</v>
          </cell>
          <cell r="D64">
            <v>0</v>
          </cell>
          <cell r="E64">
            <v>0</v>
          </cell>
          <cell r="F64">
            <v>0</v>
          </cell>
        </row>
        <row r="65">
          <cell r="A65">
            <v>0</v>
          </cell>
          <cell r="B65">
            <v>0</v>
          </cell>
          <cell r="C65">
            <v>0</v>
          </cell>
          <cell r="D65">
            <v>0</v>
          </cell>
          <cell r="E65">
            <v>0</v>
          </cell>
          <cell r="F65">
            <v>0</v>
          </cell>
        </row>
        <row r="66">
          <cell r="A66">
            <v>0</v>
          </cell>
          <cell r="B66">
            <v>0</v>
          </cell>
          <cell r="C66">
            <v>0</v>
          </cell>
          <cell r="D66">
            <v>0</v>
          </cell>
          <cell r="E66">
            <v>0</v>
          </cell>
          <cell r="F66">
            <v>0</v>
          </cell>
        </row>
        <row r="74">
          <cell r="A74" t="str">
            <v>Rochelle P Walensky MD, MPH</v>
          </cell>
          <cell r="B74" t="str">
            <v>PI</v>
          </cell>
          <cell r="C74" t="str">
            <v>Professional Staff</v>
          </cell>
          <cell r="D74">
            <v>0.08</v>
          </cell>
          <cell r="E74">
            <v>0.96</v>
          </cell>
          <cell r="F74">
            <v>0</v>
          </cell>
        </row>
        <row r="75">
          <cell r="A75" t="str">
            <v>Kenneth A Freedberg MD, MSc</v>
          </cell>
          <cell r="B75" t="str">
            <v>Co-PI</v>
          </cell>
          <cell r="C75" t="str">
            <v>Professional Staff</v>
          </cell>
          <cell r="D75">
            <v>0.05</v>
          </cell>
          <cell r="E75">
            <v>0.60000000000000009</v>
          </cell>
          <cell r="F75">
            <v>0</v>
          </cell>
        </row>
        <row r="76">
          <cell r="A76" t="str">
            <v>TBA</v>
          </cell>
          <cell r="B76" t="str">
            <v>Junior Faculty</v>
          </cell>
          <cell r="C76" t="str">
            <v>Professional Staff</v>
          </cell>
          <cell r="D76">
            <v>0.4</v>
          </cell>
          <cell r="E76">
            <v>4.8000000000000007</v>
          </cell>
          <cell r="F76">
            <v>0</v>
          </cell>
        </row>
        <row r="77">
          <cell r="A77" t="str">
            <v>Ingrid V Bassett MD, MPH</v>
          </cell>
          <cell r="B77" t="str">
            <v>Co-PI</v>
          </cell>
          <cell r="C77" t="str">
            <v>Professional Staff</v>
          </cell>
          <cell r="D77">
            <v>0.1</v>
          </cell>
          <cell r="E77">
            <v>1.2000000000000002</v>
          </cell>
          <cell r="F77">
            <v>0</v>
          </cell>
        </row>
        <row r="78">
          <cell r="A78" t="str">
            <v>TBA</v>
          </cell>
          <cell r="B78" t="str">
            <v>Junior Faculty</v>
          </cell>
          <cell r="C78" t="str">
            <v>Professional Staff</v>
          </cell>
          <cell r="D78">
            <v>0.4</v>
          </cell>
          <cell r="E78">
            <v>4.8000000000000007</v>
          </cell>
          <cell r="F78">
            <v>0</v>
          </cell>
        </row>
        <row r="79">
          <cell r="A79" t="str">
            <v>Farzad Noubary</v>
          </cell>
          <cell r="B79" t="str">
            <v>Biostatistician</v>
          </cell>
          <cell r="C79" t="str">
            <v>Non-Professional Staff</v>
          </cell>
          <cell r="D79">
            <v>0.25</v>
          </cell>
          <cell r="E79">
            <v>3</v>
          </cell>
          <cell r="F79">
            <v>0</v>
          </cell>
        </row>
        <row r="80">
          <cell r="A80" t="str">
            <v>Naishin Fu</v>
          </cell>
          <cell r="B80" t="str">
            <v>Project Coordinator</v>
          </cell>
          <cell r="C80" t="str">
            <v>Non-Professional Staff</v>
          </cell>
          <cell r="D80">
            <v>0.1</v>
          </cell>
          <cell r="E80">
            <v>1.2000000000000002</v>
          </cell>
          <cell r="F80">
            <v>0</v>
          </cell>
        </row>
        <row r="81">
          <cell r="A81" t="str">
            <v>TBN</v>
          </cell>
          <cell r="B81" t="str">
            <v>Research Assistant</v>
          </cell>
          <cell r="C81" t="str">
            <v>Non-Professional Staff</v>
          </cell>
          <cell r="D81">
            <v>0.5</v>
          </cell>
          <cell r="E81">
            <v>6</v>
          </cell>
          <cell r="F81">
            <v>0</v>
          </cell>
        </row>
        <row r="82">
          <cell r="A82">
            <v>0</v>
          </cell>
          <cell r="B82">
            <v>0</v>
          </cell>
          <cell r="C82">
            <v>0</v>
          </cell>
          <cell r="D82">
            <v>0</v>
          </cell>
          <cell r="E82">
            <v>0</v>
          </cell>
          <cell r="F82">
            <v>0</v>
          </cell>
        </row>
        <row r="83">
          <cell r="A83">
            <v>0</v>
          </cell>
          <cell r="B83">
            <v>0</v>
          </cell>
          <cell r="C83">
            <v>0</v>
          </cell>
          <cell r="D83">
            <v>0</v>
          </cell>
          <cell r="E83">
            <v>0</v>
          </cell>
          <cell r="F83">
            <v>0</v>
          </cell>
        </row>
        <row r="84">
          <cell r="A84">
            <v>0</v>
          </cell>
          <cell r="B84">
            <v>0</v>
          </cell>
          <cell r="C84">
            <v>0</v>
          </cell>
          <cell r="D84">
            <v>0</v>
          </cell>
          <cell r="E84">
            <v>0</v>
          </cell>
          <cell r="F84">
            <v>0</v>
          </cell>
        </row>
        <row r="85">
          <cell r="A85">
            <v>0</v>
          </cell>
          <cell r="B85">
            <v>0</v>
          </cell>
          <cell r="C85">
            <v>0</v>
          </cell>
          <cell r="D85">
            <v>0</v>
          </cell>
          <cell r="E85">
            <v>0</v>
          </cell>
          <cell r="F85">
            <v>0</v>
          </cell>
        </row>
        <row r="86">
          <cell r="A86">
            <v>0</v>
          </cell>
          <cell r="B86">
            <v>0</v>
          </cell>
          <cell r="C86">
            <v>0</v>
          </cell>
          <cell r="D86">
            <v>0</v>
          </cell>
          <cell r="E86">
            <v>0</v>
          </cell>
          <cell r="F86">
            <v>0</v>
          </cell>
        </row>
        <row r="87">
          <cell r="A87">
            <v>0</v>
          </cell>
          <cell r="B87">
            <v>0</v>
          </cell>
          <cell r="C87">
            <v>0</v>
          </cell>
          <cell r="D87">
            <v>0</v>
          </cell>
          <cell r="E87">
            <v>0</v>
          </cell>
          <cell r="F87">
            <v>0</v>
          </cell>
        </row>
        <row r="88">
          <cell r="A88">
            <v>0</v>
          </cell>
          <cell r="B88">
            <v>0</v>
          </cell>
          <cell r="C88">
            <v>0</v>
          </cell>
          <cell r="D88">
            <v>0</v>
          </cell>
          <cell r="E88">
            <v>0</v>
          </cell>
          <cell r="F88">
            <v>0</v>
          </cell>
        </row>
        <row r="89">
          <cell r="A89">
            <v>0</v>
          </cell>
          <cell r="B89">
            <v>0</v>
          </cell>
          <cell r="C89">
            <v>0</v>
          </cell>
          <cell r="D89">
            <v>0</v>
          </cell>
          <cell r="E89">
            <v>0</v>
          </cell>
          <cell r="F89">
            <v>0</v>
          </cell>
        </row>
        <row r="90">
          <cell r="A90">
            <v>0</v>
          </cell>
          <cell r="B90">
            <v>0</v>
          </cell>
          <cell r="C90">
            <v>0</v>
          </cell>
          <cell r="D90">
            <v>0</v>
          </cell>
          <cell r="E90">
            <v>0</v>
          </cell>
          <cell r="F90">
            <v>0</v>
          </cell>
        </row>
        <row r="91">
          <cell r="A91">
            <v>0</v>
          </cell>
          <cell r="B91">
            <v>0</v>
          </cell>
          <cell r="C91">
            <v>0</v>
          </cell>
          <cell r="D91">
            <v>0</v>
          </cell>
          <cell r="E91">
            <v>0</v>
          </cell>
          <cell r="F91">
            <v>0</v>
          </cell>
        </row>
        <row r="92">
          <cell r="A92">
            <v>0</v>
          </cell>
          <cell r="B92">
            <v>0</v>
          </cell>
          <cell r="C92">
            <v>0</v>
          </cell>
          <cell r="D92">
            <v>0</v>
          </cell>
          <cell r="E92">
            <v>0</v>
          </cell>
          <cell r="F92">
            <v>0</v>
          </cell>
        </row>
        <row r="93">
          <cell r="A93">
            <v>0</v>
          </cell>
          <cell r="B93">
            <v>0</v>
          </cell>
          <cell r="C93">
            <v>0</v>
          </cell>
          <cell r="D93">
            <v>0</v>
          </cell>
          <cell r="E93">
            <v>0</v>
          </cell>
          <cell r="F93">
            <v>0</v>
          </cell>
        </row>
        <row r="94">
          <cell r="A94">
            <v>0</v>
          </cell>
          <cell r="B94">
            <v>0</v>
          </cell>
          <cell r="C94">
            <v>0</v>
          </cell>
          <cell r="D94">
            <v>0</v>
          </cell>
          <cell r="E94">
            <v>0</v>
          </cell>
          <cell r="F94">
            <v>0</v>
          </cell>
        </row>
        <row r="95">
          <cell r="A95">
            <v>0</v>
          </cell>
          <cell r="B95">
            <v>0</v>
          </cell>
          <cell r="C95">
            <v>0</v>
          </cell>
          <cell r="D95">
            <v>0</v>
          </cell>
          <cell r="E95">
            <v>0</v>
          </cell>
          <cell r="F95">
            <v>0</v>
          </cell>
        </row>
        <row r="96">
          <cell r="A96">
            <v>0</v>
          </cell>
          <cell r="B96">
            <v>0</v>
          </cell>
          <cell r="C96">
            <v>0</v>
          </cell>
          <cell r="D96">
            <v>0</v>
          </cell>
          <cell r="E96">
            <v>0</v>
          </cell>
          <cell r="F96">
            <v>0</v>
          </cell>
        </row>
        <row r="97">
          <cell r="A97">
            <v>0</v>
          </cell>
          <cell r="B97">
            <v>0</v>
          </cell>
          <cell r="C97">
            <v>0</v>
          </cell>
          <cell r="D97">
            <v>0</v>
          </cell>
          <cell r="E97">
            <v>0</v>
          </cell>
          <cell r="F97">
            <v>0</v>
          </cell>
        </row>
        <row r="98">
          <cell r="A98">
            <v>0</v>
          </cell>
          <cell r="B98">
            <v>0</v>
          </cell>
          <cell r="C98">
            <v>0</v>
          </cell>
          <cell r="D98">
            <v>0</v>
          </cell>
          <cell r="E98">
            <v>0</v>
          </cell>
          <cell r="F98">
            <v>0</v>
          </cell>
        </row>
        <row r="106">
          <cell r="A106" t="str">
            <v>Rochelle P Walensky MD, MPH</v>
          </cell>
          <cell r="B106" t="str">
            <v>PI</v>
          </cell>
          <cell r="C106" t="str">
            <v>Professional Staff</v>
          </cell>
          <cell r="D106">
            <v>0.08</v>
          </cell>
          <cell r="E106">
            <v>0.96</v>
          </cell>
          <cell r="F106">
            <v>0</v>
          </cell>
        </row>
        <row r="107">
          <cell r="A107" t="str">
            <v>Kenneth A Freedberg MD, MSc</v>
          </cell>
          <cell r="B107" t="str">
            <v>Co-PI</v>
          </cell>
          <cell r="C107" t="str">
            <v>Professional Staff</v>
          </cell>
          <cell r="D107">
            <v>0.05</v>
          </cell>
          <cell r="E107">
            <v>0.60000000000000009</v>
          </cell>
          <cell r="F107">
            <v>0</v>
          </cell>
        </row>
        <row r="108">
          <cell r="A108" t="str">
            <v>TBA</v>
          </cell>
          <cell r="B108" t="str">
            <v>Junior Faculty</v>
          </cell>
          <cell r="C108" t="str">
            <v>Professional Staff</v>
          </cell>
          <cell r="D108">
            <v>0.4</v>
          </cell>
          <cell r="E108">
            <v>4.8000000000000007</v>
          </cell>
          <cell r="F108">
            <v>0</v>
          </cell>
        </row>
        <row r="109">
          <cell r="A109" t="str">
            <v>Ingrid V Bassett MD, MPH</v>
          </cell>
          <cell r="B109" t="str">
            <v>Co-PI</v>
          </cell>
          <cell r="C109" t="str">
            <v>Professional Staff</v>
          </cell>
          <cell r="D109">
            <v>0.1</v>
          </cell>
          <cell r="E109">
            <v>1.2000000000000002</v>
          </cell>
          <cell r="F109">
            <v>0</v>
          </cell>
        </row>
        <row r="110">
          <cell r="A110" t="str">
            <v>TBA</v>
          </cell>
          <cell r="B110" t="str">
            <v>Junior Faculty</v>
          </cell>
          <cell r="C110" t="str">
            <v>Professional Staff</v>
          </cell>
          <cell r="D110">
            <v>0.4</v>
          </cell>
          <cell r="E110">
            <v>4.8000000000000007</v>
          </cell>
          <cell r="F110">
            <v>0</v>
          </cell>
        </row>
        <row r="111">
          <cell r="A111" t="str">
            <v>Farzad Noubary</v>
          </cell>
          <cell r="B111" t="str">
            <v>Biostatistician</v>
          </cell>
          <cell r="C111" t="str">
            <v>Non-Professional Staff</v>
          </cell>
          <cell r="D111">
            <v>0.25</v>
          </cell>
          <cell r="E111">
            <v>3</v>
          </cell>
          <cell r="F111">
            <v>0</v>
          </cell>
        </row>
        <row r="112">
          <cell r="A112" t="str">
            <v>Naishin Fu</v>
          </cell>
          <cell r="B112" t="str">
            <v>Project Coordinator</v>
          </cell>
          <cell r="C112" t="str">
            <v>Non-Professional Staff</v>
          </cell>
          <cell r="D112">
            <v>0.1</v>
          </cell>
          <cell r="E112">
            <v>1.2000000000000002</v>
          </cell>
          <cell r="F112">
            <v>0</v>
          </cell>
        </row>
        <row r="113">
          <cell r="A113" t="str">
            <v>TBN</v>
          </cell>
          <cell r="B113" t="str">
            <v>Research Assistant</v>
          </cell>
          <cell r="C113" t="str">
            <v>Non-Professional Staff</v>
          </cell>
          <cell r="D113">
            <v>0.5</v>
          </cell>
          <cell r="E113">
            <v>6</v>
          </cell>
          <cell r="F113">
            <v>0</v>
          </cell>
        </row>
        <row r="114">
          <cell r="A114">
            <v>0</v>
          </cell>
          <cell r="B114">
            <v>0</v>
          </cell>
          <cell r="C114">
            <v>0</v>
          </cell>
          <cell r="D114">
            <v>0</v>
          </cell>
          <cell r="E114">
            <v>0</v>
          </cell>
          <cell r="F114">
            <v>0</v>
          </cell>
        </row>
        <row r="115">
          <cell r="A115">
            <v>0</v>
          </cell>
          <cell r="B115">
            <v>0</v>
          </cell>
          <cell r="C115">
            <v>0</v>
          </cell>
          <cell r="D115">
            <v>0</v>
          </cell>
          <cell r="E115">
            <v>0</v>
          </cell>
          <cell r="F115">
            <v>0</v>
          </cell>
        </row>
        <row r="116">
          <cell r="A116">
            <v>0</v>
          </cell>
          <cell r="B116">
            <v>0</v>
          </cell>
          <cell r="C116">
            <v>0</v>
          </cell>
          <cell r="D116">
            <v>0</v>
          </cell>
          <cell r="E116">
            <v>0</v>
          </cell>
          <cell r="F116">
            <v>0</v>
          </cell>
        </row>
        <row r="117">
          <cell r="A117">
            <v>0</v>
          </cell>
          <cell r="B117">
            <v>0</v>
          </cell>
          <cell r="C117">
            <v>0</v>
          </cell>
          <cell r="D117">
            <v>0</v>
          </cell>
          <cell r="E117">
            <v>0</v>
          </cell>
          <cell r="F117">
            <v>0</v>
          </cell>
        </row>
        <row r="118">
          <cell r="A118">
            <v>0</v>
          </cell>
          <cell r="B118">
            <v>0</v>
          </cell>
          <cell r="C118">
            <v>0</v>
          </cell>
          <cell r="D118">
            <v>0</v>
          </cell>
          <cell r="E118">
            <v>0</v>
          </cell>
          <cell r="F118">
            <v>0</v>
          </cell>
        </row>
        <row r="119">
          <cell r="A119">
            <v>0</v>
          </cell>
          <cell r="B119">
            <v>0</v>
          </cell>
          <cell r="C119">
            <v>0</v>
          </cell>
          <cell r="D119">
            <v>0</v>
          </cell>
          <cell r="E119">
            <v>0</v>
          </cell>
          <cell r="F119">
            <v>0</v>
          </cell>
        </row>
        <row r="120">
          <cell r="A120">
            <v>0</v>
          </cell>
          <cell r="B120">
            <v>0</v>
          </cell>
          <cell r="C120">
            <v>0</v>
          </cell>
          <cell r="D120">
            <v>0</v>
          </cell>
          <cell r="E120">
            <v>0</v>
          </cell>
          <cell r="F120">
            <v>0</v>
          </cell>
        </row>
        <row r="121">
          <cell r="A121">
            <v>0</v>
          </cell>
          <cell r="B121">
            <v>0</v>
          </cell>
          <cell r="C121">
            <v>0</v>
          </cell>
          <cell r="D121">
            <v>0</v>
          </cell>
          <cell r="E121">
            <v>0</v>
          </cell>
          <cell r="F121">
            <v>0</v>
          </cell>
        </row>
        <row r="122">
          <cell r="A122">
            <v>0</v>
          </cell>
          <cell r="B122">
            <v>0</v>
          </cell>
          <cell r="C122">
            <v>0</v>
          </cell>
          <cell r="D122">
            <v>0</v>
          </cell>
          <cell r="E122">
            <v>0</v>
          </cell>
          <cell r="F122">
            <v>0</v>
          </cell>
        </row>
        <row r="123">
          <cell r="A123">
            <v>0</v>
          </cell>
          <cell r="B123">
            <v>0</v>
          </cell>
          <cell r="C123">
            <v>0</v>
          </cell>
          <cell r="D123">
            <v>0</v>
          </cell>
          <cell r="E123">
            <v>0</v>
          </cell>
          <cell r="F123">
            <v>0</v>
          </cell>
        </row>
        <row r="124">
          <cell r="A124">
            <v>0</v>
          </cell>
          <cell r="B124">
            <v>0</v>
          </cell>
          <cell r="C124">
            <v>0</v>
          </cell>
          <cell r="D124">
            <v>0</v>
          </cell>
          <cell r="E124">
            <v>0</v>
          </cell>
          <cell r="F124">
            <v>0</v>
          </cell>
        </row>
        <row r="125">
          <cell r="A125">
            <v>0</v>
          </cell>
          <cell r="B125">
            <v>0</v>
          </cell>
          <cell r="C125">
            <v>0</v>
          </cell>
          <cell r="D125">
            <v>0</v>
          </cell>
          <cell r="E125">
            <v>0</v>
          </cell>
          <cell r="F125">
            <v>0</v>
          </cell>
        </row>
        <row r="126">
          <cell r="A126">
            <v>0</v>
          </cell>
          <cell r="B126">
            <v>0</v>
          </cell>
          <cell r="C126">
            <v>0</v>
          </cell>
          <cell r="D126">
            <v>0</v>
          </cell>
          <cell r="E126">
            <v>0</v>
          </cell>
          <cell r="F126">
            <v>0</v>
          </cell>
        </row>
        <row r="127">
          <cell r="A127">
            <v>0</v>
          </cell>
          <cell r="B127">
            <v>0</v>
          </cell>
          <cell r="C127">
            <v>0</v>
          </cell>
          <cell r="D127">
            <v>0</v>
          </cell>
          <cell r="E127">
            <v>0</v>
          </cell>
          <cell r="F127">
            <v>0</v>
          </cell>
        </row>
        <row r="128">
          <cell r="A128">
            <v>0</v>
          </cell>
          <cell r="B128">
            <v>0</v>
          </cell>
          <cell r="C128">
            <v>0</v>
          </cell>
          <cell r="D128">
            <v>0</v>
          </cell>
          <cell r="E128">
            <v>0</v>
          </cell>
          <cell r="F128">
            <v>0</v>
          </cell>
        </row>
        <row r="129">
          <cell r="A129">
            <v>0</v>
          </cell>
          <cell r="B129">
            <v>0</v>
          </cell>
          <cell r="C129">
            <v>0</v>
          </cell>
          <cell r="D129">
            <v>0</v>
          </cell>
          <cell r="E129">
            <v>0</v>
          </cell>
          <cell r="F129">
            <v>0</v>
          </cell>
        </row>
        <row r="130">
          <cell r="A130">
            <v>0</v>
          </cell>
          <cell r="B130">
            <v>0</v>
          </cell>
          <cell r="C130">
            <v>0</v>
          </cell>
          <cell r="D130">
            <v>0</v>
          </cell>
          <cell r="E130">
            <v>0</v>
          </cell>
          <cell r="F130">
            <v>0</v>
          </cell>
        </row>
      </sheetData>
      <sheetData sheetId="3">
        <row r="3">
          <cell r="A3" t="str">
            <v>Select Here</v>
          </cell>
        </row>
      </sheetData>
      <sheetData sheetId="4">
        <row r="3">
          <cell r="A3" t="str">
            <v>Select Here</v>
          </cell>
        </row>
      </sheetData>
      <sheetData sheetId="5">
        <row r="3">
          <cell r="A3" t="str">
            <v>Select Here</v>
          </cell>
        </row>
      </sheetData>
      <sheetData sheetId="6">
        <row r="3">
          <cell r="A3" t="str">
            <v>Select Here</v>
          </cell>
        </row>
      </sheetData>
      <sheetData sheetId="7">
        <row r="3">
          <cell r="A3" t="str">
            <v>Select Here</v>
          </cell>
        </row>
      </sheetData>
      <sheetData sheetId="8">
        <row r="3">
          <cell r="A3" t="str">
            <v>Select Here</v>
          </cell>
        </row>
        <row r="4">
          <cell r="A4" t="str">
            <v>MGH</v>
          </cell>
        </row>
        <row r="5">
          <cell r="A5" t="str">
            <v>BWH</v>
          </cell>
        </row>
        <row r="6">
          <cell r="K6">
            <v>40087</v>
          </cell>
          <cell r="L6">
            <v>40452</v>
          </cell>
          <cell r="M6">
            <v>40817</v>
          </cell>
          <cell r="N6">
            <v>41183</v>
          </cell>
          <cell r="O6">
            <v>41548</v>
          </cell>
          <cell r="P6">
            <v>41913</v>
          </cell>
          <cell r="Q6">
            <v>42278</v>
          </cell>
          <cell r="R6">
            <v>42644</v>
          </cell>
        </row>
        <row r="7">
          <cell r="K7">
            <v>40451</v>
          </cell>
          <cell r="L7">
            <v>40816</v>
          </cell>
          <cell r="M7">
            <v>41182</v>
          </cell>
          <cell r="N7">
            <v>41547</v>
          </cell>
          <cell r="O7">
            <v>41912</v>
          </cell>
          <cell r="P7">
            <v>42277</v>
          </cell>
          <cell r="Q7">
            <v>42643</v>
          </cell>
          <cell r="R7">
            <v>43008</v>
          </cell>
        </row>
        <row r="8">
          <cell r="J8" t="str">
            <v>Professional Staff</v>
          </cell>
          <cell r="K8">
            <v>0.35</v>
          </cell>
          <cell r="L8">
            <v>0.36</v>
          </cell>
          <cell r="M8">
            <v>0.37</v>
          </cell>
          <cell r="N8">
            <v>0.37</v>
          </cell>
          <cell r="O8">
            <v>0.37</v>
          </cell>
          <cell r="P8">
            <v>0.37</v>
          </cell>
          <cell r="Q8">
            <v>0.37</v>
          </cell>
          <cell r="R8">
            <v>0.37</v>
          </cell>
        </row>
        <row r="9">
          <cell r="J9" t="str">
            <v>Non-Professional Staff</v>
          </cell>
          <cell r="K9">
            <v>0.32</v>
          </cell>
          <cell r="L9">
            <v>0.34</v>
          </cell>
          <cell r="M9">
            <v>0.35</v>
          </cell>
          <cell r="N9">
            <v>0.36</v>
          </cell>
          <cell r="O9">
            <v>0.36</v>
          </cell>
          <cell r="P9">
            <v>0.36</v>
          </cell>
          <cell r="Q9">
            <v>0.36</v>
          </cell>
          <cell r="R9">
            <v>0.36</v>
          </cell>
        </row>
        <row r="10">
          <cell r="J10" t="str">
            <v>Bulfinch Temps</v>
          </cell>
          <cell r="K10">
            <v>0.1</v>
          </cell>
          <cell r="L10">
            <v>0.1</v>
          </cell>
          <cell r="M10">
            <v>0.1</v>
          </cell>
          <cell r="N10">
            <v>0.1</v>
          </cell>
          <cell r="O10">
            <v>0.1</v>
          </cell>
          <cell r="P10">
            <v>0.1</v>
          </cell>
          <cell r="Q10">
            <v>0.1</v>
          </cell>
          <cell r="R10">
            <v>0.1</v>
          </cell>
        </row>
        <row r="11">
          <cell r="J11">
            <v>0</v>
          </cell>
          <cell r="K11">
            <v>0</v>
          </cell>
          <cell r="L11">
            <v>0</v>
          </cell>
          <cell r="M11">
            <v>0</v>
          </cell>
          <cell r="N11">
            <v>0</v>
          </cell>
          <cell r="O11">
            <v>0</v>
          </cell>
          <cell r="P11">
            <v>0</v>
          </cell>
          <cell r="Q11">
            <v>0</v>
          </cell>
          <cell r="R11">
            <v>0</v>
          </cell>
        </row>
        <row r="20">
          <cell r="K20">
            <v>40087</v>
          </cell>
          <cell r="L20">
            <v>40452</v>
          </cell>
          <cell r="M20">
            <v>40817</v>
          </cell>
          <cell r="N20">
            <v>41183</v>
          </cell>
          <cell r="O20">
            <v>41548</v>
          </cell>
          <cell r="P20">
            <v>41913</v>
          </cell>
          <cell r="Q20">
            <v>42278</v>
          </cell>
          <cell r="R20">
            <v>42644</v>
          </cell>
        </row>
        <row r="21">
          <cell r="K21">
            <v>40451</v>
          </cell>
          <cell r="L21">
            <v>40816</v>
          </cell>
          <cell r="M21">
            <v>41182</v>
          </cell>
          <cell r="N21">
            <v>41547</v>
          </cell>
          <cell r="O21">
            <v>41912</v>
          </cell>
          <cell r="P21">
            <v>42277</v>
          </cell>
          <cell r="Q21">
            <v>42643</v>
          </cell>
          <cell r="R21">
            <v>43008</v>
          </cell>
        </row>
        <row r="22">
          <cell r="J22" t="str">
            <v>OnSite</v>
          </cell>
          <cell r="K22">
            <v>0.77</v>
          </cell>
          <cell r="L22">
            <v>0.77</v>
          </cell>
          <cell r="M22">
            <v>0.77</v>
          </cell>
          <cell r="N22">
            <v>0.77</v>
          </cell>
          <cell r="O22">
            <v>0.77</v>
          </cell>
          <cell r="P22">
            <v>0.77</v>
          </cell>
          <cell r="Q22">
            <v>0.77</v>
          </cell>
          <cell r="R22">
            <v>0.77</v>
          </cell>
        </row>
        <row r="23">
          <cell r="J23" t="str">
            <v>Offsite (includes Federal sponsored Clinical Trials)</v>
          </cell>
          <cell r="K23">
            <v>0.27</v>
          </cell>
          <cell r="L23">
            <v>0.27</v>
          </cell>
          <cell r="M23">
            <v>0.27</v>
          </cell>
          <cell r="N23">
            <v>0.27</v>
          </cell>
          <cell r="O23">
            <v>0.27</v>
          </cell>
          <cell r="P23">
            <v>0.27</v>
          </cell>
          <cell r="Q23">
            <v>0.27</v>
          </cell>
          <cell r="R23">
            <v>0.27</v>
          </cell>
        </row>
        <row r="24">
          <cell r="J24" t="str">
            <v>Other</v>
          </cell>
          <cell r="K24">
            <v>0</v>
          </cell>
          <cell r="L24">
            <v>0</v>
          </cell>
          <cell r="M24">
            <v>0</v>
          </cell>
          <cell r="N24">
            <v>0</v>
          </cell>
          <cell r="O24">
            <v>0</v>
          </cell>
          <cell r="P24">
            <v>0</v>
          </cell>
          <cell r="Q24">
            <v>0</v>
          </cell>
          <cell r="R24">
            <v>0</v>
          </cell>
        </row>
      </sheetData>
      <sheetData sheetId="9"/>
      <sheetData sheetId="10"/>
      <sheetData sheetId="11"/>
      <sheetData sheetId="12">
        <row r="10">
          <cell r="A10" t="str">
            <v>Rochelle P Walensky MD, MPH</v>
          </cell>
        </row>
      </sheetData>
      <sheetData sheetId="13">
        <row r="3">
          <cell r="A3" t="str">
            <v>Select Here</v>
          </cell>
        </row>
      </sheetData>
      <sheetData sheetId="14">
        <row r="3">
          <cell r="A3" t="str">
            <v>Select Here</v>
          </cell>
        </row>
      </sheetData>
      <sheetData sheetId="15">
        <row r="3">
          <cell r="A3" t="str">
            <v>Select Here</v>
          </cell>
        </row>
      </sheetData>
      <sheetData sheetId="16">
        <row r="3">
          <cell r="A3" t="str">
            <v>Select Here</v>
          </cell>
        </row>
      </sheetData>
      <sheetData sheetId="17">
        <row r="3">
          <cell r="A3" t="str">
            <v>Select Here</v>
          </cell>
        </row>
      </sheetData>
      <sheetData sheetId="18">
        <row r="3">
          <cell r="A3" t="str">
            <v>Select Here</v>
          </cell>
        </row>
      </sheetData>
      <sheetData sheetId="19"/>
      <sheetData sheetId="20"/>
      <sheetData sheetId="21">
        <row r="3">
          <cell r="A3" t="str">
            <v>Select Here</v>
          </cell>
        </row>
      </sheetData>
      <sheetData sheetId="22">
        <row r="3">
          <cell r="A3" t="str">
            <v>Select Here</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1. SUMMARY"/>
      <sheetName val="2. PERSONNEL"/>
      <sheetName val="3. NON-PERSONNEL EXPENSES"/>
      <sheetName val="4. SUBAWARDS"/>
      <sheetName val="5. CUMULATIVE BUDGET"/>
      <sheetName val="6. Notes Tab"/>
      <sheetName val="7. Modular Budget"/>
      <sheetName val="Sheet1"/>
      <sheetName val=" Training"/>
      <sheetName val="7. Drop Down Menu Templates"/>
      <sheetName val="Trainings &amp; Meetings"/>
      <sheetName val="1__SUMMARY"/>
      <sheetName val="2__PERSONNEL"/>
      <sheetName val="3__NON-PERSONNEL_EXPENSES"/>
      <sheetName val="4__SUBAWARDS"/>
      <sheetName val="5__CUMULATIVE_BUDGET"/>
      <sheetName val="6__Notes_Tab"/>
      <sheetName val="7__Modular_Budget"/>
      <sheetName val="_Training"/>
      <sheetName val="7__Drop_Down_Menu_Templates"/>
      <sheetName val="Trainings_&amp;_Meetings"/>
      <sheetName val="Dropdown"/>
      <sheetName val="2__PERSONNEL1"/>
      <sheetName val="1__SUMMARY1"/>
      <sheetName val="Lists"/>
      <sheetName val="FINAL CASH batch 1"/>
    </sheetNames>
    <sheetDataSet>
      <sheetData sheetId="0">
        <row r="3">
          <cell r="A3" t="str">
            <v>Select Here</v>
          </cell>
        </row>
      </sheetData>
      <sheetData sheetId="1">
        <row r="13">
          <cell r="C13" t="str">
            <v>Rochelle P Walensky MD, MPH</v>
          </cell>
        </row>
        <row r="14">
          <cell r="C14" t="str">
            <v>MGH</v>
          </cell>
        </row>
      </sheetData>
      <sheetData sheetId="2">
        <row r="10">
          <cell r="A10" t="str">
            <v>Rochelle P Walensky MD, MPH</v>
          </cell>
          <cell r="B10" t="str">
            <v>PI</v>
          </cell>
          <cell r="C10" t="str">
            <v>Professional Staff</v>
          </cell>
          <cell r="D10">
            <v>0.08</v>
          </cell>
          <cell r="E10">
            <v>0.96</v>
          </cell>
          <cell r="F10">
            <v>199700</v>
          </cell>
          <cell r="Z10" t="str">
            <v>Rochelle P Walensky MD, MPH</v>
          </cell>
        </row>
        <row r="11">
          <cell r="A11" t="str">
            <v>Kenneth A Freedberg MD, MSc</v>
          </cell>
          <cell r="B11" t="str">
            <v>Co-PI</v>
          </cell>
          <cell r="C11" t="str">
            <v>Professional Staff</v>
          </cell>
          <cell r="D11">
            <v>0.05</v>
          </cell>
          <cell r="E11">
            <v>0.60000000000000009</v>
          </cell>
          <cell r="F11">
            <v>199700</v>
          </cell>
          <cell r="Z11" t="str">
            <v>Kenneth A Freedberg MD, MSc</v>
          </cell>
        </row>
        <row r="12">
          <cell r="A12" t="str">
            <v>TBA</v>
          </cell>
          <cell r="B12" t="str">
            <v>Junior Faculty</v>
          </cell>
          <cell r="C12" t="str">
            <v>Professional Staff</v>
          </cell>
          <cell r="D12">
            <v>0.4</v>
          </cell>
          <cell r="E12">
            <v>4.8000000000000007</v>
          </cell>
          <cell r="F12">
            <v>105000</v>
          </cell>
          <cell r="Z12" t="str">
            <v>TBA</v>
          </cell>
        </row>
        <row r="13">
          <cell r="A13" t="str">
            <v>Ingrid V Bassett MD, MPH</v>
          </cell>
          <cell r="B13" t="str">
            <v>Co-PI</v>
          </cell>
          <cell r="C13" t="str">
            <v>Professional Staff</v>
          </cell>
          <cell r="D13">
            <v>0.1</v>
          </cell>
          <cell r="E13">
            <v>1.2000000000000002</v>
          </cell>
          <cell r="F13">
            <v>133900</v>
          </cell>
          <cell r="Z13" t="str">
            <v>Ingrid V Bassett MD, MPH</v>
          </cell>
        </row>
        <row r="14">
          <cell r="A14" t="str">
            <v>TBA</v>
          </cell>
          <cell r="B14" t="str">
            <v>Programmer</v>
          </cell>
          <cell r="C14" t="str">
            <v>Non-Professional Staff</v>
          </cell>
          <cell r="D14">
            <v>0.25</v>
          </cell>
          <cell r="E14">
            <v>3</v>
          </cell>
          <cell r="F14">
            <v>70000</v>
          </cell>
          <cell r="Z14" t="str">
            <v>TBA</v>
          </cell>
        </row>
        <row r="15">
          <cell r="A15" t="str">
            <v>Farzad Noubary</v>
          </cell>
          <cell r="B15" t="str">
            <v>Biostatistician</v>
          </cell>
          <cell r="C15" t="str">
            <v>Non-Professional Staff</v>
          </cell>
          <cell r="D15">
            <v>0.25</v>
          </cell>
          <cell r="E15">
            <v>3</v>
          </cell>
          <cell r="F15">
            <v>71000</v>
          </cell>
          <cell r="Z15" t="str">
            <v>Farzad Noubary</v>
          </cell>
        </row>
        <row r="16">
          <cell r="A16" t="str">
            <v>Naishin Fu</v>
          </cell>
          <cell r="B16" t="str">
            <v>Project Coordinator</v>
          </cell>
          <cell r="C16" t="str">
            <v>Non-Professional Staff</v>
          </cell>
          <cell r="D16">
            <v>0.1</v>
          </cell>
          <cell r="E16">
            <v>1.2000000000000002</v>
          </cell>
          <cell r="F16">
            <v>58000</v>
          </cell>
          <cell r="Z16" t="str">
            <v>Naishin Fu</v>
          </cell>
        </row>
        <row r="17">
          <cell r="A17" t="str">
            <v>TBN</v>
          </cell>
          <cell r="B17" t="str">
            <v>Research Assistant</v>
          </cell>
          <cell r="C17" t="str">
            <v>Non-Professional Staff</v>
          </cell>
          <cell r="D17">
            <v>0.5</v>
          </cell>
          <cell r="E17">
            <v>6</v>
          </cell>
          <cell r="F17">
            <v>33500</v>
          </cell>
          <cell r="Z17" t="str">
            <v>TBN</v>
          </cell>
        </row>
        <row r="18">
          <cell r="E18">
            <v>0</v>
          </cell>
          <cell r="F18">
            <v>0</v>
          </cell>
          <cell r="Z18">
            <v>0</v>
          </cell>
        </row>
        <row r="19">
          <cell r="E19">
            <v>0</v>
          </cell>
          <cell r="F19">
            <v>0</v>
          </cell>
          <cell r="Z19">
            <v>0</v>
          </cell>
        </row>
        <row r="20">
          <cell r="E20">
            <v>0</v>
          </cell>
          <cell r="F20">
            <v>0</v>
          </cell>
          <cell r="Z20">
            <v>0</v>
          </cell>
        </row>
        <row r="21">
          <cell r="E21">
            <v>0</v>
          </cell>
          <cell r="F21">
            <v>0</v>
          </cell>
          <cell r="Z21">
            <v>0</v>
          </cell>
        </row>
        <row r="22">
          <cell r="E22">
            <v>0</v>
          </cell>
          <cell r="F22">
            <v>0</v>
          </cell>
          <cell r="Z22">
            <v>0</v>
          </cell>
        </row>
        <row r="23">
          <cell r="E23">
            <v>0</v>
          </cell>
          <cell r="F23">
            <v>0</v>
          </cell>
          <cell r="Z23">
            <v>0</v>
          </cell>
        </row>
        <row r="24">
          <cell r="E24">
            <v>0</v>
          </cell>
          <cell r="F24">
            <v>0</v>
          </cell>
          <cell r="Z24">
            <v>0</v>
          </cell>
        </row>
        <row r="25">
          <cell r="E25">
            <v>0</v>
          </cell>
          <cell r="F25">
            <v>0</v>
          </cell>
          <cell r="Z25">
            <v>0</v>
          </cell>
        </row>
        <row r="26">
          <cell r="E26">
            <v>0</v>
          </cell>
          <cell r="F26">
            <v>0</v>
          </cell>
          <cell r="Z26">
            <v>0</v>
          </cell>
        </row>
        <row r="27">
          <cell r="E27">
            <v>0</v>
          </cell>
          <cell r="F27">
            <v>0</v>
          </cell>
          <cell r="Z27">
            <v>0</v>
          </cell>
        </row>
        <row r="28">
          <cell r="E28">
            <v>0</v>
          </cell>
          <cell r="F28">
            <v>0</v>
          </cell>
          <cell r="Z28">
            <v>0</v>
          </cell>
        </row>
        <row r="29">
          <cell r="E29">
            <v>0</v>
          </cell>
          <cell r="F29">
            <v>0</v>
          </cell>
          <cell r="Z29">
            <v>0</v>
          </cell>
        </row>
        <row r="30">
          <cell r="E30">
            <v>0</v>
          </cell>
          <cell r="F30">
            <v>0</v>
          </cell>
          <cell r="Z30">
            <v>0</v>
          </cell>
        </row>
        <row r="31">
          <cell r="E31">
            <v>0</v>
          </cell>
          <cell r="F31">
            <v>0</v>
          </cell>
          <cell r="Z31">
            <v>0</v>
          </cell>
        </row>
        <row r="32">
          <cell r="E32">
            <v>0</v>
          </cell>
          <cell r="F32">
            <v>0</v>
          </cell>
          <cell r="Z32">
            <v>0</v>
          </cell>
        </row>
        <row r="33">
          <cell r="E33">
            <v>0</v>
          </cell>
          <cell r="F33">
            <v>0</v>
          </cell>
          <cell r="Z33">
            <v>0</v>
          </cell>
        </row>
        <row r="34">
          <cell r="E34">
            <v>0</v>
          </cell>
          <cell r="F34">
            <v>0</v>
          </cell>
          <cell r="Z34">
            <v>0</v>
          </cell>
        </row>
        <row r="42">
          <cell r="A42" t="str">
            <v>Rochelle P Walensky MD, MPH</v>
          </cell>
          <cell r="B42" t="str">
            <v>PI</v>
          </cell>
          <cell r="C42" t="str">
            <v>Professional Staff</v>
          </cell>
          <cell r="D42">
            <v>0.08</v>
          </cell>
          <cell r="E42">
            <v>0.96</v>
          </cell>
          <cell r="F42">
            <v>0</v>
          </cell>
        </row>
        <row r="43">
          <cell r="A43" t="str">
            <v>Kenneth A Freedberg MD, MSc</v>
          </cell>
          <cell r="B43" t="str">
            <v>Co-PI</v>
          </cell>
          <cell r="C43" t="str">
            <v>Professional Staff</v>
          </cell>
          <cell r="D43">
            <v>0.05</v>
          </cell>
          <cell r="E43">
            <v>0.60000000000000009</v>
          </cell>
          <cell r="F43">
            <v>0</v>
          </cell>
        </row>
        <row r="44">
          <cell r="A44" t="str">
            <v>TBA</v>
          </cell>
          <cell r="B44" t="str">
            <v>Junior Faculty</v>
          </cell>
          <cell r="C44" t="str">
            <v>Professional Staff</v>
          </cell>
          <cell r="D44">
            <v>0.4</v>
          </cell>
          <cell r="E44">
            <v>4.8000000000000007</v>
          </cell>
          <cell r="F44">
            <v>0</v>
          </cell>
        </row>
        <row r="45">
          <cell r="A45" t="str">
            <v>Ingrid V Bassett MD, MPH</v>
          </cell>
          <cell r="B45" t="str">
            <v>Co-PI</v>
          </cell>
          <cell r="C45" t="str">
            <v>Professional Staff</v>
          </cell>
          <cell r="D45">
            <v>0.1</v>
          </cell>
          <cell r="E45">
            <v>1.2000000000000002</v>
          </cell>
          <cell r="F45">
            <v>0</v>
          </cell>
        </row>
        <row r="46">
          <cell r="A46" t="str">
            <v>TBA</v>
          </cell>
          <cell r="B46" t="str">
            <v>Junior Faculty</v>
          </cell>
          <cell r="C46" t="str">
            <v>Professional Staff</v>
          </cell>
          <cell r="D46">
            <v>0.4</v>
          </cell>
          <cell r="E46">
            <v>4.8000000000000007</v>
          </cell>
          <cell r="F46">
            <v>0</v>
          </cell>
        </row>
        <row r="47">
          <cell r="A47" t="str">
            <v>Farzad Noubary</v>
          </cell>
          <cell r="B47" t="str">
            <v>Biostatistician</v>
          </cell>
          <cell r="C47" t="str">
            <v>Non-Professional Staff</v>
          </cell>
          <cell r="D47">
            <v>0.25</v>
          </cell>
          <cell r="E47">
            <v>3</v>
          </cell>
          <cell r="F47">
            <v>0</v>
          </cell>
        </row>
        <row r="48">
          <cell r="A48" t="str">
            <v>Naishin Fu</v>
          </cell>
          <cell r="B48" t="str">
            <v>Project Coordinator</v>
          </cell>
          <cell r="C48" t="str">
            <v>Non-Professional Staff</v>
          </cell>
          <cell r="D48">
            <v>0.1</v>
          </cell>
          <cell r="E48">
            <v>1.2000000000000002</v>
          </cell>
          <cell r="F48">
            <v>0</v>
          </cell>
        </row>
        <row r="49">
          <cell r="A49" t="str">
            <v>TBN</v>
          </cell>
          <cell r="B49" t="str">
            <v>Research Assistant</v>
          </cell>
          <cell r="C49" t="str">
            <v>Non-Professional Staff</v>
          </cell>
          <cell r="D49">
            <v>0.5</v>
          </cell>
          <cell r="E49">
            <v>6</v>
          </cell>
          <cell r="F49">
            <v>0</v>
          </cell>
        </row>
        <row r="50">
          <cell r="A50">
            <v>0</v>
          </cell>
          <cell r="B50">
            <v>0</v>
          </cell>
          <cell r="C50">
            <v>0</v>
          </cell>
          <cell r="D50">
            <v>0</v>
          </cell>
          <cell r="E50">
            <v>0</v>
          </cell>
          <cell r="F50">
            <v>0</v>
          </cell>
        </row>
        <row r="51">
          <cell r="A51">
            <v>0</v>
          </cell>
          <cell r="B51">
            <v>0</v>
          </cell>
          <cell r="C51">
            <v>0</v>
          </cell>
          <cell r="D51">
            <v>0</v>
          </cell>
          <cell r="E51">
            <v>0</v>
          </cell>
          <cell r="F51">
            <v>0</v>
          </cell>
        </row>
        <row r="52">
          <cell r="A52">
            <v>0</v>
          </cell>
          <cell r="B52">
            <v>0</v>
          </cell>
          <cell r="C52">
            <v>0</v>
          </cell>
          <cell r="D52">
            <v>0</v>
          </cell>
          <cell r="E52">
            <v>0</v>
          </cell>
          <cell r="F52">
            <v>0</v>
          </cell>
        </row>
        <row r="53">
          <cell r="A53">
            <v>0</v>
          </cell>
          <cell r="B53">
            <v>0</v>
          </cell>
          <cell r="C53">
            <v>0</v>
          </cell>
          <cell r="D53">
            <v>0</v>
          </cell>
          <cell r="E53">
            <v>0</v>
          </cell>
          <cell r="F53">
            <v>0</v>
          </cell>
        </row>
        <row r="54">
          <cell r="A54">
            <v>0</v>
          </cell>
          <cell r="B54">
            <v>0</v>
          </cell>
          <cell r="C54">
            <v>0</v>
          </cell>
          <cell r="D54">
            <v>0</v>
          </cell>
          <cell r="E54">
            <v>0</v>
          </cell>
          <cell r="F54">
            <v>0</v>
          </cell>
        </row>
        <row r="55">
          <cell r="A55">
            <v>0</v>
          </cell>
          <cell r="B55">
            <v>0</v>
          </cell>
          <cell r="C55">
            <v>0</v>
          </cell>
          <cell r="D55">
            <v>0</v>
          </cell>
          <cell r="E55">
            <v>0</v>
          </cell>
          <cell r="F55">
            <v>0</v>
          </cell>
        </row>
        <row r="56">
          <cell r="A56">
            <v>0</v>
          </cell>
          <cell r="B56">
            <v>0</v>
          </cell>
          <cell r="C56">
            <v>0</v>
          </cell>
          <cell r="D56">
            <v>0</v>
          </cell>
          <cell r="E56">
            <v>0</v>
          </cell>
          <cell r="F56">
            <v>0</v>
          </cell>
        </row>
        <row r="57">
          <cell r="A57">
            <v>0</v>
          </cell>
          <cell r="B57">
            <v>0</v>
          </cell>
          <cell r="C57">
            <v>0</v>
          </cell>
          <cell r="D57">
            <v>0</v>
          </cell>
          <cell r="E57">
            <v>0</v>
          </cell>
          <cell r="F57">
            <v>0</v>
          </cell>
        </row>
        <row r="58">
          <cell r="A58">
            <v>0</v>
          </cell>
          <cell r="B58">
            <v>0</v>
          </cell>
          <cell r="C58">
            <v>0</v>
          </cell>
          <cell r="D58">
            <v>0</v>
          </cell>
          <cell r="E58">
            <v>0</v>
          </cell>
          <cell r="F58">
            <v>0</v>
          </cell>
        </row>
        <row r="59">
          <cell r="A59">
            <v>0</v>
          </cell>
          <cell r="B59">
            <v>0</v>
          </cell>
          <cell r="C59">
            <v>0</v>
          </cell>
          <cell r="D59">
            <v>0</v>
          </cell>
          <cell r="E59">
            <v>0</v>
          </cell>
          <cell r="F59">
            <v>0</v>
          </cell>
        </row>
        <row r="60">
          <cell r="A60">
            <v>0</v>
          </cell>
          <cell r="B60">
            <v>0</v>
          </cell>
          <cell r="C60">
            <v>0</v>
          </cell>
          <cell r="D60">
            <v>0</v>
          </cell>
          <cell r="E60">
            <v>0</v>
          </cell>
          <cell r="F60">
            <v>0</v>
          </cell>
        </row>
        <row r="61">
          <cell r="A61">
            <v>0</v>
          </cell>
          <cell r="B61">
            <v>0</v>
          </cell>
          <cell r="C61">
            <v>0</v>
          </cell>
          <cell r="D61">
            <v>0</v>
          </cell>
          <cell r="E61">
            <v>0</v>
          </cell>
          <cell r="F61">
            <v>0</v>
          </cell>
        </row>
        <row r="62">
          <cell r="A62">
            <v>0</v>
          </cell>
          <cell r="B62">
            <v>0</v>
          </cell>
          <cell r="C62">
            <v>0</v>
          </cell>
          <cell r="D62">
            <v>0</v>
          </cell>
          <cell r="E62">
            <v>0</v>
          </cell>
          <cell r="F62">
            <v>0</v>
          </cell>
        </row>
        <row r="63">
          <cell r="A63">
            <v>0</v>
          </cell>
          <cell r="B63">
            <v>0</v>
          </cell>
          <cell r="C63">
            <v>0</v>
          </cell>
          <cell r="D63">
            <v>0</v>
          </cell>
          <cell r="E63">
            <v>0</v>
          </cell>
          <cell r="F63">
            <v>0</v>
          </cell>
        </row>
        <row r="64">
          <cell r="A64">
            <v>0</v>
          </cell>
          <cell r="B64">
            <v>0</v>
          </cell>
          <cell r="C64">
            <v>0</v>
          </cell>
          <cell r="D64">
            <v>0</v>
          </cell>
          <cell r="E64">
            <v>0</v>
          </cell>
          <cell r="F64">
            <v>0</v>
          </cell>
        </row>
        <row r="65">
          <cell r="A65">
            <v>0</v>
          </cell>
          <cell r="B65">
            <v>0</v>
          </cell>
          <cell r="C65">
            <v>0</v>
          </cell>
          <cell r="D65">
            <v>0</v>
          </cell>
          <cell r="E65">
            <v>0</v>
          </cell>
          <cell r="F65">
            <v>0</v>
          </cell>
        </row>
        <row r="66">
          <cell r="A66">
            <v>0</v>
          </cell>
          <cell r="B66">
            <v>0</v>
          </cell>
          <cell r="C66">
            <v>0</v>
          </cell>
          <cell r="D66">
            <v>0</v>
          </cell>
          <cell r="E66">
            <v>0</v>
          </cell>
          <cell r="F66">
            <v>0</v>
          </cell>
        </row>
        <row r="74">
          <cell r="A74" t="str">
            <v>Rochelle P Walensky MD, MPH</v>
          </cell>
          <cell r="B74" t="str">
            <v>PI</v>
          </cell>
          <cell r="C74" t="str">
            <v>Professional Staff</v>
          </cell>
          <cell r="D74">
            <v>0.08</v>
          </cell>
          <cell r="E74">
            <v>0.96</v>
          </cell>
          <cell r="F74">
            <v>0</v>
          </cell>
        </row>
        <row r="75">
          <cell r="A75" t="str">
            <v>Kenneth A Freedberg MD, MSc</v>
          </cell>
          <cell r="B75" t="str">
            <v>Co-PI</v>
          </cell>
          <cell r="C75" t="str">
            <v>Professional Staff</v>
          </cell>
          <cell r="D75">
            <v>0.05</v>
          </cell>
          <cell r="E75">
            <v>0.60000000000000009</v>
          </cell>
          <cell r="F75">
            <v>0</v>
          </cell>
        </row>
        <row r="76">
          <cell r="A76" t="str">
            <v>TBA</v>
          </cell>
          <cell r="B76" t="str">
            <v>Junior Faculty</v>
          </cell>
          <cell r="C76" t="str">
            <v>Professional Staff</v>
          </cell>
          <cell r="D76">
            <v>0.4</v>
          </cell>
          <cell r="E76">
            <v>4.8000000000000007</v>
          </cell>
          <cell r="F76">
            <v>0</v>
          </cell>
        </row>
        <row r="77">
          <cell r="A77" t="str">
            <v>Ingrid V Bassett MD, MPH</v>
          </cell>
          <cell r="B77" t="str">
            <v>Co-PI</v>
          </cell>
          <cell r="C77" t="str">
            <v>Professional Staff</v>
          </cell>
          <cell r="D77">
            <v>0.1</v>
          </cell>
          <cell r="E77">
            <v>1.2000000000000002</v>
          </cell>
          <cell r="F77">
            <v>0</v>
          </cell>
        </row>
        <row r="78">
          <cell r="A78" t="str">
            <v>TBA</v>
          </cell>
          <cell r="B78" t="str">
            <v>Junior Faculty</v>
          </cell>
          <cell r="C78" t="str">
            <v>Professional Staff</v>
          </cell>
          <cell r="D78">
            <v>0.4</v>
          </cell>
          <cell r="E78">
            <v>4.8000000000000007</v>
          </cell>
          <cell r="F78">
            <v>0</v>
          </cell>
        </row>
        <row r="79">
          <cell r="A79" t="str">
            <v>Farzad Noubary</v>
          </cell>
          <cell r="B79" t="str">
            <v>Biostatistician</v>
          </cell>
          <cell r="C79" t="str">
            <v>Non-Professional Staff</v>
          </cell>
          <cell r="D79">
            <v>0.25</v>
          </cell>
          <cell r="E79">
            <v>3</v>
          </cell>
          <cell r="F79">
            <v>0</v>
          </cell>
        </row>
        <row r="80">
          <cell r="A80" t="str">
            <v>Naishin Fu</v>
          </cell>
          <cell r="B80" t="str">
            <v>Project Coordinator</v>
          </cell>
          <cell r="C80" t="str">
            <v>Non-Professional Staff</v>
          </cell>
          <cell r="D80">
            <v>0.1</v>
          </cell>
          <cell r="E80">
            <v>1.2000000000000002</v>
          </cell>
          <cell r="F80">
            <v>0</v>
          </cell>
        </row>
        <row r="81">
          <cell r="A81" t="str">
            <v>TBN</v>
          </cell>
          <cell r="B81" t="str">
            <v>Research Assistant</v>
          </cell>
          <cell r="C81" t="str">
            <v>Non-Professional Staff</v>
          </cell>
          <cell r="D81">
            <v>0.5</v>
          </cell>
          <cell r="E81">
            <v>6</v>
          </cell>
          <cell r="F81">
            <v>0</v>
          </cell>
        </row>
        <row r="82">
          <cell r="A82">
            <v>0</v>
          </cell>
          <cell r="B82">
            <v>0</v>
          </cell>
          <cell r="C82">
            <v>0</v>
          </cell>
          <cell r="D82">
            <v>0</v>
          </cell>
          <cell r="E82">
            <v>0</v>
          </cell>
          <cell r="F82">
            <v>0</v>
          </cell>
        </row>
        <row r="83">
          <cell r="A83">
            <v>0</v>
          </cell>
          <cell r="B83">
            <v>0</v>
          </cell>
          <cell r="C83">
            <v>0</v>
          </cell>
          <cell r="D83">
            <v>0</v>
          </cell>
          <cell r="E83">
            <v>0</v>
          </cell>
          <cell r="F83">
            <v>0</v>
          </cell>
        </row>
        <row r="84">
          <cell r="A84">
            <v>0</v>
          </cell>
          <cell r="B84">
            <v>0</v>
          </cell>
          <cell r="C84">
            <v>0</v>
          </cell>
          <cell r="D84">
            <v>0</v>
          </cell>
          <cell r="E84">
            <v>0</v>
          </cell>
          <cell r="F84">
            <v>0</v>
          </cell>
        </row>
        <row r="85">
          <cell r="A85">
            <v>0</v>
          </cell>
          <cell r="B85">
            <v>0</v>
          </cell>
          <cell r="C85">
            <v>0</v>
          </cell>
          <cell r="D85">
            <v>0</v>
          </cell>
          <cell r="E85">
            <v>0</v>
          </cell>
          <cell r="F85">
            <v>0</v>
          </cell>
        </row>
        <row r="86">
          <cell r="A86">
            <v>0</v>
          </cell>
          <cell r="B86">
            <v>0</v>
          </cell>
          <cell r="C86">
            <v>0</v>
          </cell>
          <cell r="D86">
            <v>0</v>
          </cell>
          <cell r="E86">
            <v>0</v>
          </cell>
          <cell r="F86">
            <v>0</v>
          </cell>
        </row>
        <row r="87">
          <cell r="A87">
            <v>0</v>
          </cell>
          <cell r="B87">
            <v>0</v>
          </cell>
          <cell r="C87">
            <v>0</v>
          </cell>
          <cell r="D87">
            <v>0</v>
          </cell>
          <cell r="E87">
            <v>0</v>
          </cell>
          <cell r="F87">
            <v>0</v>
          </cell>
        </row>
        <row r="88">
          <cell r="A88">
            <v>0</v>
          </cell>
          <cell r="B88">
            <v>0</v>
          </cell>
          <cell r="C88">
            <v>0</v>
          </cell>
          <cell r="D88">
            <v>0</v>
          </cell>
          <cell r="E88">
            <v>0</v>
          </cell>
          <cell r="F88">
            <v>0</v>
          </cell>
        </row>
        <row r="89">
          <cell r="A89">
            <v>0</v>
          </cell>
          <cell r="B89">
            <v>0</v>
          </cell>
          <cell r="C89">
            <v>0</v>
          </cell>
          <cell r="D89">
            <v>0</v>
          </cell>
          <cell r="E89">
            <v>0</v>
          </cell>
          <cell r="F89">
            <v>0</v>
          </cell>
        </row>
        <row r="90">
          <cell r="A90">
            <v>0</v>
          </cell>
          <cell r="B90">
            <v>0</v>
          </cell>
          <cell r="C90">
            <v>0</v>
          </cell>
          <cell r="D90">
            <v>0</v>
          </cell>
          <cell r="E90">
            <v>0</v>
          </cell>
          <cell r="F90">
            <v>0</v>
          </cell>
        </row>
        <row r="91">
          <cell r="A91">
            <v>0</v>
          </cell>
          <cell r="B91">
            <v>0</v>
          </cell>
          <cell r="C91">
            <v>0</v>
          </cell>
          <cell r="D91">
            <v>0</v>
          </cell>
          <cell r="E91">
            <v>0</v>
          </cell>
          <cell r="F91">
            <v>0</v>
          </cell>
        </row>
        <row r="92">
          <cell r="A92">
            <v>0</v>
          </cell>
          <cell r="B92">
            <v>0</v>
          </cell>
          <cell r="C92">
            <v>0</v>
          </cell>
          <cell r="D92">
            <v>0</v>
          </cell>
          <cell r="E92">
            <v>0</v>
          </cell>
          <cell r="F92">
            <v>0</v>
          </cell>
        </row>
        <row r="93">
          <cell r="A93">
            <v>0</v>
          </cell>
          <cell r="B93">
            <v>0</v>
          </cell>
          <cell r="C93">
            <v>0</v>
          </cell>
          <cell r="D93">
            <v>0</v>
          </cell>
          <cell r="E93">
            <v>0</v>
          </cell>
          <cell r="F93">
            <v>0</v>
          </cell>
        </row>
        <row r="94">
          <cell r="A94">
            <v>0</v>
          </cell>
          <cell r="B94">
            <v>0</v>
          </cell>
          <cell r="C94">
            <v>0</v>
          </cell>
          <cell r="D94">
            <v>0</v>
          </cell>
          <cell r="E94">
            <v>0</v>
          </cell>
          <cell r="F94">
            <v>0</v>
          </cell>
        </row>
        <row r="95">
          <cell r="A95">
            <v>0</v>
          </cell>
          <cell r="B95">
            <v>0</v>
          </cell>
          <cell r="C95">
            <v>0</v>
          </cell>
          <cell r="D95">
            <v>0</v>
          </cell>
          <cell r="E95">
            <v>0</v>
          </cell>
          <cell r="F95">
            <v>0</v>
          </cell>
        </row>
        <row r="96">
          <cell r="A96">
            <v>0</v>
          </cell>
          <cell r="B96">
            <v>0</v>
          </cell>
          <cell r="C96">
            <v>0</v>
          </cell>
          <cell r="D96">
            <v>0</v>
          </cell>
          <cell r="E96">
            <v>0</v>
          </cell>
          <cell r="F96">
            <v>0</v>
          </cell>
        </row>
        <row r="97">
          <cell r="A97">
            <v>0</v>
          </cell>
          <cell r="B97">
            <v>0</v>
          </cell>
          <cell r="C97">
            <v>0</v>
          </cell>
          <cell r="D97">
            <v>0</v>
          </cell>
          <cell r="E97">
            <v>0</v>
          </cell>
          <cell r="F97">
            <v>0</v>
          </cell>
        </row>
        <row r="98">
          <cell r="A98">
            <v>0</v>
          </cell>
          <cell r="B98">
            <v>0</v>
          </cell>
          <cell r="C98">
            <v>0</v>
          </cell>
          <cell r="D98">
            <v>0</v>
          </cell>
          <cell r="E98">
            <v>0</v>
          </cell>
          <cell r="F98">
            <v>0</v>
          </cell>
        </row>
        <row r="106">
          <cell r="A106" t="str">
            <v>Rochelle P Walensky MD, MPH</v>
          </cell>
          <cell r="B106" t="str">
            <v>PI</v>
          </cell>
          <cell r="C106" t="str">
            <v>Professional Staff</v>
          </cell>
          <cell r="D106">
            <v>0.08</v>
          </cell>
          <cell r="E106">
            <v>0.96</v>
          </cell>
          <cell r="F106">
            <v>0</v>
          </cell>
        </row>
        <row r="107">
          <cell r="A107" t="str">
            <v>Kenneth A Freedberg MD, MSc</v>
          </cell>
          <cell r="B107" t="str">
            <v>Co-PI</v>
          </cell>
          <cell r="C107" t="str">
            <v>Professional Staff</v>
          </cell>
          <cell r="D107">
            <v>0.05</v>
          </cell>
          <cell r="E107">
            <v>0.60000000000000009</v>
          </cell>
          <cell r="F107">
            <v>0</v>
          </cell>
        </row>
        <row r="108">
          <cell r="A108" t="str">
            <v>TBA</v>
          </cell>
          <cell r="B108" t="str">
            <v>Junior Faculty</v>
          </cell>
          <cell r="C108" t="str">
            <v>Professional Staff</v>
          </cell>
          <cell r="D108">
            <v>0.4</v>
          </cell>
          <cell r="E108">
            <v>4.8000000000000007</v>
          </cell>
          <cell r="F108">
            <v>0</v>
          </cell>
        </row>
        <row r="109">
          <cell r="A109" t="str">
            <v>Ingrid V Bassett MD, MPH</v>
          </cell>
          <cell r="B109" t="str">
            <v>Co-PI</v>
          </cell>
          <cell r="C109" t="str">
            <v>Professional Staff</v>
          </cell>
          <cell r="D109">
            <v>0.1</v>
          </cell>
          <cell r="E109">
            <v>1.2000000000000002</v>
          </cell>
          <cell r="F109">
            <v>0</v>
          </cell>
        </row>
        <row r="110">
          <cell r="A110" t="str">
            <v>TBA</v>
          </cell>
          <cell r="B110" t="str">
            <v>Junior Faculty</v>
          </cell>
          <cell r="C110" t="str">
            <v>Professional Staff</v>
          </cell>
          <cell r="D110">
            <v>0.4</v>
          </cell>
          <cell r="E110">
            <v>4.8000000000000007</v>
          </cell>
          <cell r="F110">
            <v>0</v>
          </cell>
        </row>
        <row r="111">
          <cell r="A111" t="str">
            <v>Farzad Noubary</v>
          </cell>
          <cell r="B111" t="str">
            <v>Biostatistician</v>
          </cell>
          <cell r="C111" t="str">
            <v>Non-Professional Staff</v>
          </cell>
          <cell r="D111">
            <v>0.25</v>
          </cell>
          <cell r="E111">
            <v>3</v>
          </cell>
          <cell r="F111">
            <v>0</v>
          </cell>
        </row>
        <row r="112">
          <cell r="A112" t="str">
            <v>Naishin Fu</v>
          </cell>
          <cell r="B112" t="str">
            <v>Project Coordinator</v>
          </cell>
          <cell r="C112" t="str">
            <v>Non-Professional Staff</v>
          </cell>
          <cell r="D112">
            <v>0.1</v>
          </cell>
          <cell r="E112">
            <v>1.2000000000000002</v>
          </cell>
          <cell r="F112">
            <v>0</v>
          </cell>
        </row>
        <row r="113">
          <cell r="A113" t="str">
            <v>TBN</v>
          </cell>
          <cell r="B113" t="str">
            <v>Research Assistant</v>
          </cell>
          <cell r="C113" t="str">
            <v>Non-Professional Staff</v>
          </cell>
          <cell r="D113">
            <v>0.5</v>
          </cell>
          <cell r="E113">
            <v>6</v>
          </cell>
          <cell r="F113">
            <v>0</v>
          </cell>
        </row>
        <row r="114">
          <cell r="A114">
            <v>0</v>
          </cell>
          <cell r="B114">
            <v>0</v>
          </cell>
          <cell r="C114">
            <v>0</v>
          </cell>
          <cell r="D114">
            <v>0</v>
          </cell>
          <cell r="E114">
            <v>0</v>
          </cell>
          <cell r="F114">
            <v>0</v>
          </cell>
        </row>
        <row r="115">
          <cell r="A115">
            <v>0</v>
          </cell>
          <cell r="B115">
            <v>0</v>
          </cell>
          <cell r="C115">
            <v>0</v>
          </cell>
          <cell r="D115">
            <v>0</v>
          </cell>
          <cell r="E115">
            <v>0</v>
          </cell>
          <cell r="F115">
            <v>0</v>
          </cell>
        </row>
        <row r="116">
          <cell r="A116">
            <v>0</v>
          </cell>
          <cell r="B116">
            <v>0</v>
          </cell>
          <cell r="C116">
            <v>0</v>
          </cell>
          <cell r="D116">
            <v>0</v>
          </cell>
          <cell r="E116">
            <v>0</v>
          </cell>
          <cell r="F116">
            <v>0</v>
          </cell>
        </row>
        <row r="117">
          <cell r="A117">
            <v>0</v>
          </cell>
          <cell r="B117">
            <v>0</v>
          </cell>
          <cell r="C117">
            <v>0</v>
          </cell>
          <cell r="D117">
            <v>0</v>
          </cell>
          <cell r="E117">
            <v>0</v>
          </cell>
          <cell r="F117">
            <v>0</v>
          </cell>
        </row>
        <row r="118">
          <cell r="A118">
            <v>0</v>
          </cell>
          <cell r="B118">
            <v>0</v>
          </cell>
          <cell r="C118">
            <v>0</v>
          </cell>
          <cell r="D118">
            <v>0</v>
          </cell>
          <cell r="E118">
            <v>0</v>
          </cell>
          <cell r="F118">
            <v>0</v>
          </cell>
        </row>
        <row r="119">
          <cell r="A119">
            <v>0</v>
          </cell>
          <cell r="B119">
            <v>0</v>
          </cell>
          <cell r="C119">
            <v>0</v>
          </cell>
          <cell r="D119">
            <v>0</v>
          </cell>
          <cell r="E119">
            <v>0</v>
          </cell>
          <cell r="F119">
            <v>0</v>
          </cell>
        </row>
        <row r="120">
          <cell r="A120">
            <v>0</v>
          </cell>
          <cell r="B120">
            <v>0</v>
          </cell>
          <cell r="C120">
            <v>0</v>
          </cell>
          <cell r="D120">
            <v>0</v>
          </cell>
          <cell r="E120">
            <v>0</v>
          </cell>
          <cell r="F120">
            <v>0</v>
          </cell>
        </row>
        <row r="121">
          <cell r="A121">
            <v>0</v>
          </cell>
          <cell r="B121">
            <v>0</v>
          </cell>
          <cell r="C121">
            <v>0</v>
          </cell>
          <cell r="D121">
            <v>0</v>
          </cell>
          <cell r="E121">
            <v>0</v>
          </cell>
          <cell r="F121">
            <v>0</v>
          </cell>
        </row>
        <row r="122">
          <cell r="A122">
            <v>0</v>
          </cell>
          <cell r="B122">
            <v>0</v>
          </cell>
          <cell r="C122">
            <v>0</v>
          </cell>
          <cell r="D122">
            <v>0</v>
          </cell>
          <cell r="E122">
            <v>0</v>
          </cell>
          <cell r="F122">
            <v>0</v>
          </cell>
        </row>
        <row r="123">
          <cell r="A123">
            <v>0</v>
          </cell>
          <cell r="B123">
            <v>0</v>
          </cell>
          <cell r="C123">
            <v>0</v>
          </cell>
          <cell r="D123">
            <v>0</v>
          </cell>
          <cell r="E123">
            <v>0</v>
          </cell>
          <cell r="F123">
            <v>0</v>
          </cell>
        </row>
        <row r="124">
          <cell r="A124">
            <v>0</v>
          </cell>
          <cell r="B124">
            <v>0</v>
          </cell>
          <cell r="C124">
            <v>0</v>
          </cell>
          <cell r="D124">
            <v>0</v>
          </cell>
          <cell r="E124">
            <v>0</v>
          </cell>
          <cell r="F124">
            <v>0</v>
          </cell>
        </row>
        <row r="125">
          <cell r="A125">
            <v>0</v>
          </cell>
          <cell r="B125">
            <v>0</v>
          </cell>
          <cell r="C125">
            <v>0</v>
          </cell>
          <cell r="D125">
            <v>0</v>
          </cell>
          <cell r="E125">
            <v>0</v>
          </cell>
          <cell r="F125">
            <v>0</v>
          </cell>
        </row>
        <row r="126">
          <cell r="A126">
            <v>0</v>
          </cell>
          <cell r="B126">
            <v>0</v>
          </cell>
          <cell r="C126">
            <v>0</v>
          </cell>
          <cell r="D126">
            <v>0</v>
          </cell>
          <cell r="E126">
            <v>0</v>
          </cell>
          <cell r="F126">
            <v>0</v>
          </cell>
        </row>
        <row r="127">
          <cell r="A127">
            <v>0</v>
          </cell>
          <cell r="B127">
            <v>0</v>
          </cell>
          <cell r="C127">
            <v>0</v>
          </cell>
          <cell r="D127">
            <v>0</v>
          </cell>
          <cell r="E127">
            <v>0</v>
          </cell>
          <cell r="F127">
            <v>0</v>
          </cell>
        </row>
        <row r="128">
          <cell r="A128">
            <v>0</v>
          </cell>
          <cell r="B128">
            <v>0</v>
          </cell>
          <cell r="C128">
            <v>0</v>
          </cell>
          <cell r="D128">
            <v>0</v>
          </cell>
          <cell r="E128">
            <v>0</v>
          </cell>
          <cell r="F128">
            <v>0</v>
          </cell>
        </row>
        <row r="129">
          <cell r="A129">
            <v>0</v>
          </cell>
          <cell r="B129">
            <v>0</v>
          </cell>
          <cell r="C129">
            <v>0</v>
          </cell>
          <cell r="D129">
            <v>0</v>
          </cell>
          <cell r="E129">
            <v>0</v>
          </cell>
          <cell r="F129">
            <v>0</v>
          </cell>
        </row>
        <row r="130">
          <cell r="A130">
            <v>0</v>
          </cell>
          <cell r="B130">
            <v>0</v>
          </cell>
          <cell r="C130">
            <v>0</v>
          </cell>
          <cell r="D130">
            <v>0</v>
          </cell>
          <cell r="E130">
            <v>0</v>
          </cell>
          <cell r="F130">
            <v>0</v>
          </cell>
        </row>
      </sheetData>
      <sheetData sheetId="3">
        <row r="3">
          <cell r="A3" t="str">
            <v>Select Here</v>
          </cell>
        </row>
      </sheetData>
      <sheetData sheetId="4">
        <row r="3">
          <cell r="A3" t="str">
            <v>Select Here</v>
          </cell>
        </row>
      </sheetData>
      <sheetData sheetId="5">
        <row r="3">
          <cell r="A3" t="str">
            <v>Select Here</v>
          </cell>
        </row>
      </sheetData>
      <sheetData sheetId="6">
        <row r="3">
          <cell r="A3" t="str">
            <v>Select Here</v>
          </cell>
        </row>
      </sheetData>
      <sheetData sheetId="7">
        <row r="3">
          <cell r="A3" t="str">
            <v>Select Here</v>
          </cell>
        </row>
      </sheetData>
      <sheetData sheetId="8">
        <row r="3">
          <cell r="A3" t="str">
            <v>Select Here</v>
          </cell>
        </row>
        <row r="4">
          <cell r="A4" t="str">
            <v>MGH</v>
          </cell>
        </row>
        <row r="5">
          <cell r="A5" t="str">
            <v>BWH</v>
          </cell>
        </row>
        <row r="6">
          <cell r="K6">
            <v>40087</v>
          </cell>
          <cell r="L6">
            <v>40452</v>
          </cell>
          <cell r="M6">
            <v>40817</v>
          </cell>
          <cell r="N6">
            <v>41183</v>
          </cell>
          <cell r="O6">
            <v>41548</v>
          </cell>
          <cell r="P6">
            <v>41913</v>
          </cell>
          <cell r="Q6">
            <v>42278</v>
          </cell>
          <cell r="R6">
            <v>42644</v>
          </cell>
        </row>
        <row r="7">
          <cell r="K7">
            <v>40451</v>
          </cell>
          <cell r="L7">
            <v>40816</v>
          </cell>
          <cell r="M7">
            <v>41182</v>
          </cell>
          <cell r="N7">
            <v>41547</v>
          </cell>
          <cell r="O7">
            <v>41912</v>
          </cell>
          <cell r="P7">
            <v>42277</v>
          </cell>
          <cell r="Q7">
            <v>42643</v>
          </cell>
          <cell r="R7">
            <v>43008</v>
          </cell>
        </row>
        <row r="8">
          <cell r="J8" t="str">
            <v>Professional Staff</v>
          </cell>
          <cell r="K8">
            <v>0.35</v>
          </cell>
          <cell r="L8">
            <v>0.36</v>
          </cell>
          <cell r="M8">
            <v>0.37</v>
          </cell>
          <cell r="N8">
            <v>0.37</v>
          </cell>
          <cell r="O8">
            <v>0.37</v>
          </cell>
          <cell r="P8">
            <v>0.37</v>
          </cell>
          <cell r="Q8">
            <v>0.37</v>
          </cell>
          <cell r="R8">
            <v>0.37</v>
          </cell>
        </row>
        <row r="9">
          <cell r="J9" t="str">
            <v>Non-Professional Staff</v>
          </cell>
          <cell r="K9">
            <v>0.32</v>
          </cell>
          <cell r="L9">
            <v>0.34</v>
          </cell>
          <cell r="M9">
            <v>0.35</v>
          </cell>
          <cell r="N9">
            <v>0.36</v>
          </cell>
          <cell r="O9">
            <v>0.36</v>
          </cell>
          <cell r="P9">
            <v>0.36</v>
          </cell>
          <cell r="Q9">
            <v>0.36</v>
          </cell>
          <cell r="R9">
            <v>0.36</v>
          </cell>
        </row>
        <row r="10">
          <cell r="J10" t="str">
            <v>Bulfinch Temps</v>
          </cell>
          <cell r="K10">
            <v>0.1</v>
          </cell>
          <cell r="L10">
            <v>0.1</v>
          </cell>
          <cell r="M10">
            <v>0.1</v>
          </cell>
          <cell r="N10">
            <v>0.1</v>
          </cell>
          <cell r="O10">
            <v>0.1</v>
          </cell>
          <cell r="P10">
            <v>0.1</v>
          </cell>
          <cell r="Q10">
            <v>0.1</v>
          </cell>
          <cell r="R10">
            <v>0.1</v>
          </cell>
        </row>
        <row r="11">
          <cell r="J11">
            <v>0</v>
          </cell>
          <cell r="K11">
            <v>0</v>
          </cell>
          <cell r="L11">
            <v>0</v>
          </cell>
          <cell r="M11">
            <v>0</v>
          </cell>
          <cell r="N11">
            <v>0</v>
          </cell>
          <cell r="O11">
            <v>0</v>
          </cell>
          <cell r="P11">
            <v>0</v>
          </cell>
          <cell r="Q11">
            <v>0</v>
          </cell>
          <cell r="R11">
            <v>0</v>
          </cell>
        </row>
        <row r="20">
          <cell r="K20">
            <v>40087</v>
          </cell>
          <cell r="L20">
            <v>40452</v>
          </cell>
          <cell r="M20">
            <v>40817</v>
          </cell>
          <cell r="N20">
            <v>41183</v>
          </cell>
          <cell r="O20">
            <v>41548</v>
          </cell>
          <cell r="P20">
            <v>41913</v>
          </cell>
          <cell r="Q20">
            <v>42278</v>
          </cell>
          <cell r="R20">
            <v>42644</v>
          </cell>
        </row>
        <row r="21">
          <cell r="K21">
            <v>40451</v>
          </cell>
          <cell r="L21">
            <v>40816</v>
          </cell>
          <cell r="M21">
            <v>41182</v>
          </cell>
          <cell r="N21">
            <v>41547</v>
          </cell>
          <cell r="O21">
            <v>41912</v>
          </cell>
          <cell r="P21">
            <v>42277</v>
          </cell>
          <cell r="Q21">
            <v>42643</v>
          </cell>
          <cell r="R21">
            <v>43008</v>
          </cell>
        </row>
        <row r="22">
          <cell r="J22" t="str">
            <v>OnSite</v>
          </cell>
          <cell r="K22">
            <v>0.77</v>
          </cell>
          <cell r="L22">
            <v>0.77</v>
          </cell>
          <cell r="M22">
            <v>0.77</v>
          </cell>
          <cell r="N22">
            <v>0.77</v>
          </cell>
          <cell r="O22">
            <v>0.77</v>
          </cell>
          <cell r="P22">
            <v>0.77</v>
          </cell>
          <cell r="Q22">
            <v>0.77</v>
          </cell>
          <cell r="R22">
            <v>0.77</v>
          </cell>
        </row>
        <row r="23">
          <cell r="J23" t="str">
            <v>Offsite (includes Federal sponsored Clinical Trials)</v>
          </cell>
          <cell r="K23">
            <v>0.27</v>
          </cell>
          <cell r="L23">
            <v>0.27</v>
          </cell>
          <cell r="M23">
            <v>0.27</v>
          </cell>
          <cell r="N23">
            <v>0.27</v>
          </cell>
          <cell r="O23">
            <v>0.27</v>
          </cell>
          <cell r="P23">
            <v>0.27</v>
          </cell>
          <cell r="Q23">
            <v>0.27</v>
          </cell>
          <cell r="R23">
            <v>0.27</v>
          </cell>
        </row>
        <row r="24">
          <cell r="J24" t="str">
            <v>Other</v>
          </cell>
          <cell r="K24">
            <v>0</v>
          </cell>
          <cell r="L24">
            <v>0</v>
          </cell>
          <cell r="M24">
            <v>0</v>
          </cell>
          <cell r="N24">
            <v>0</v>
          </cell>
          <cell r="O24">
            <v>0</v>
          </cell>
          <cell r="P24">
            <v>0</v>
          </cell>
          <cell r="Q24">
            <v>0</v>
          </cell>
          <cell r="R24">
            <v>0</v>
          </cell>
        </row>
      </sheetData>
      <sheetData sheetId="9" refreshError="1"/>
      <sheetData sheetId="10" refreshError="1"/>
      <sheetData sheetId="11" refreshError="1"/>
      <sheetData sheetId="12">
        <row r="10">
          <cell r="A10" t="str">
            <v>Rochelle P Walensky MD, MPH</v>
          </cell>
        </row>
      </sheetData>
      <sheetData sheetId="13">
        <row r="3">
          <cell r="A3" t="str">
            <v>Select Here</v>
          </cell>
        </row>
      </sheetData>
      <sheetData sheetId="14">
        <row r="3">
          <cell r="A3" t="str">
            <v>Select Here</v>
          </cell>
        </row>
      </sheetData>
      <sheetData sheetId="15">
        <row r="3">
          <cell r="A3" t="str">
            <v>Select Here</v>
          </cell>
        </row>
      </sheetData>
      <sheetData sheetId="16">
        <row r="3">
          <cell r="A3" t="str">
            <v>Select Here</v>
          </cell>
        </row>
      </sheetData>
      <sheetData sheetId="17">
        <row r="3">
          <cell r="A3" t="str">
            <v>Select Here</v>
          </cell>
        </row>
      </sheetData>
      <sheetData sheetId="18">
        <row r="3">
          <cell r="A3" t="str">
            <v>Select Here</v>
          </cell>
        </row>
      </sheetData>
      <sheetData sheetId="19"/>
      <sheetData sheetId="20"/>
      <sheetData sheetId="21">
        <row r="3">
          <cell r="A3" t="str">
            <v>Select Here</v>
          </cell>
        </row>
      </sheetData>
      <sheetData sheetId="22">
        <row r="3">
          <cell r="A3" t="str">
            <v>Select Here</v>
          </cell>
        </row>
      </sheetData>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for CDC"/>
      <sheetName val="Summary for CU RA"/>
      <sheetName val="In-Country"/>
      <sheetName val="NYP&amp;T Linked"/>
      <sheetName val="NYP&amp;T"/>
      <sheetName val="Sub-budget"/>
      <sheetName val="Consultants"/>
      <sheetName val="Subawards"/>
      <sheetName val="Vehicles"/>
      <sheetName val="Base Salary"/>
      <sheetName val="Cost Share"/>
      <sheetName val="Summary_for_CDC"/>
      <sheetName val="Summary_for_CU_RA"/>
      <sheetName val="NYP&amp;T_Linked"/>
      <sheetName val="Base_Salary"/>
      <sheetName val="Cost_Share"/>
      <sheetName val="Aphia+"/>
      <sheetName val="MCAP 5_76531"/>
      <sheetName val="Nyanza(568504)"/>
      <sheetName val="Eastern(576037)"/>
      <sheetName val="EASTERN 576037 Detailed DSR"/>
      <sheetName val="Trainings &amp; Meetings"/>
      <sheetName val="Sheet1"/>
      <sheetName val="PO's FEB "/>
      <sheetName val="PO's Eastern Transfer"/>
      <sheetName val="PO's Feb"/>
      <sheetName val="PO's to Jan-"/>
      <sheetName val="Commitments"/>
      <sheetName val="Aphia Committments"/>
    </sheetNames>
    <sheetDataSet>
      <sheetData sheetId="0">
        <row r="3">
          <cell r="B3" t="str">
            <v>CDC RFA PS09-930</v>
          </cell>
        </row>
        <row r="4">
          <cell r="B4" t="str">
            <v>Strengthening TB/HIV Collaboration in the Kingdom of Lesotho</v>
          </cell>
        </row>
        <row r="5">
          <cell r="B5" t="str">
            <v>Mailman School of Public Health, Columbia University</v>
          </cell>
        </row>
        <row r="6">
          <cell r="B6" t="str">
            <v>Budget Period:  October 1, 2010 - September 30, 2011</v>
          </cell>
        </row>
        <row r="7">
          <cell r="B7" t="str">
            <v>Submission Date:  XXXXXXXXXXXXX</v>
          </cell>
        </row>
        <row r="10">
          <cell r="B10">
            <v>0.31</v>
          </cell>
        </row>
        <row r="11">
          <cell r="B11">
            <v>0.26400000000000001</v>
          </cell>
        </row>
        <row r="12">
          <cell r="B12">
            <v>0.31</v>
          </cell>
        </row>
        <row r="14">
          <cell r="B14">
            <v>0.28499999999999998</v>
          </cell>
        </row>
        <row r="15">
          <cell r="B15">
            <v>0.28999999999999998</v>
          </cell>
        </row>
        <row r="18">
          <cell r="B18">
            <v>121</v>
          </cell>
        </row>
        <row r="19">
          <cell r="B19">
            <v>65</v>
          </cell>
        </row>
        <row r="20">
          <cell r="B20">
            <v>150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for CDC"/>
      <sheetName val="Summary for CU RA"/>
      <sheetName val="In-Country"/>
      <sheetName val="NYP&amp;T Linked"/>
      <sheetName val="NYP&amp;T"/>
      <sheetName val="Sub-budget"/>
      <sheetName val="Consultants"/>
      <sheetName val="Subawards"/>
      <sheetName val="Vehicles"/>
      <sheetName val="Base Salary"/>
      <sheetName val="Cost Share"/>
      <sheetName val="Summary_for_CDC"/>
      <sheetName val="Summary_for_CU_RA"/>
      <sheetName val="NYP&amp;T_Linked"/>
      <sheetName val="Base_Salary"/>
      <sheetName val="Cost_Share"/>
      <sheetName val="Aphia+"/>
      <sheetName val="MCAP 5_76531"/>
      <sheetName val="Nyanza(568504)"/>
      <sheetName val="Eastern(576037)"/>
      <sheetName val="EASTERN 576037 Detailed DSR"/>
      <sheetName val="Trainings &amp; Meetings"/>
      <sheetName val="Sheet1"/>
      <sheetName val="PO's FEB "/>
      <sheetName val="PO's Eastern Transfer"/>
      <sheetName val="PO's Feb"/>
      <sheetName val="PO's to Jan-"/>
      <sheetName val="Commitments"/>
      <sheetName val="Aphia Committments"/>
      <sheetName val="Lists"/>
      <sheetName val="FINAL CASH batch 1"/>
    </sheetNames>
    <sheetDataSet>
      <sheetData sheetId="0">
        <row r="3">
          <cell r="B3" t="str">
            <v>CDC RFA PS09-930</v>
          </cell>
        </row>
        <row r="4">
          <cell r="B4" t="str">
            <v xml:space="preserve">Strengthening TB/HIV Collaboration in the Kingdom of Lesotho </v>
          </cell>
        </row>
        <row r="5">
          <cell r="B5" t="str">
            <v>Mailman School of Public Health, Columbia University</v>
          </cell>
        </row>
        <row r="6">
          <cell r="B6" t="str">
            <v>Budget Period:  October 1, 2010 - September 30, 2011</v>
          </cell>
        </row>
        <row r="7">
          <cell r="B7" t="str">
            <v>Submission Date:  XXXXXXXXXXXXX</v>
          </cell>
        </row>
        <row r="10">
          <cell r="B10">
            <v>0.31</v>
          </cell>
        </row>
        <row r="11">
          <cell r="B11">
            <v>0.26400000000000001</v>
          </cell>
        </row>
        <row r="12">
          <cell r="B12">
            <v>0.31</v>
          </cell>
        </row>
        <row r="14">
          <cell r="B14">
            <v>0.28499999999999998</v>
          </cell>
        </row>
        <row r="15">
          <cell r="B15">
            <v>0.28999999999999998</v>
          </cell>
        </row>
        <row r="18">
          <cell r="B18">
            <v>121</v>
          </cell>
        </row>
        <row r="19">
          <cell r="B19">
            <v>65</v>
          </cell>
        </row>
        <row r="20">
          <cell r="B20">
            <v>150</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otal"/>
      <sheetName val="DFID Forecast"/>
      <sheetName val="Input Sheet"/>
      <sheetName val="Grants Forecast"/>
      <sheetName val="Inc - Personnel"/>
      <sheetName val="Inc - Milestones"/>
      <sheetName val="Inc - Reimburseable"/>
      <sheetName val="reimburs detail"/>
      <sheetName val="Inc - Non-Reimburseable"/>
      <sheetName val="Impl - Personnel"/>
      <sheetName val="Impl - Milestones"/>
      <sheetName val="Impl - Reimburseable"/>
      <sheetName val="Impl - Non-Reimburseable"/>
      <sheetName val="Close Out - Personnel"/>
      <sheetName val="Close Out - Milestones"/>
      <sheetName val="Close Out - Reimburseable"/>
      <sheetName val="Close Out - Non-Reimburseable"/>
      <sheetName val="TZHDI Forecast Linking"/>
      <sheetName val="Notes"/>
      <sheetName val="Project_Total"/>
      <sheetName val="DFID_Forecast"/>
      <sheetName val="Input_Sheet"/>
      <sheetName val="Grants_Forecast"/>
      <sheetName val="Inc_-_Personnel"/>
      <sheetName val="Inc_-_Milestones"/>
      <sheetName val="Inc_-_Reimburseable"/>
      <sheetName val="reimburs_detail"/>
      <sheetName val="Inc_-_Non-Reimburseable"/>
      <sheetName val="Impl_-_Personnel"/>
      <sheetName val="Impl_-_Milestones"/>
      <sheetName val="Impl_-_Reimburseable"/>
      <sheetName val="Impl_-_Non-Reimburseable"/>
      <sheetName val="Close_Out_-_Personnel"/>
      <sheetName val="Close_Out_-_Milestones"/>
      <sheetName val="Close_Out_-_Reimburseable"/>
      <sheetName val="Close_Out_-_Non-Reimburseable"/>
      <sheetName val="TZHDI_Forecast_Linking"/>
      <sheetName val="Project_Total1"/>
      <sheetName val="DFID_Forecast1"/>
      <sheetName val="Input_Sheet1"/>
      <sheetName val="Grants_Forecast1"/>
      <sheetName val="Inc_-_Personnel1"/>
      <sheetName val="Inc_-_Milestones1"/>
      <sheetName val="Inc_-_Reimburseable1"/>
      <sheetName val="reimburs_detail1"/>
      <sheetName val="Inc_-_Non-Reimburseable1"/>
      <sheetName val="Impl_-_Personnel1"/>
      <sheetName val="Impl_-_Milestones1"/>
      <sheetName val="Impl_-_Reimburseable1"/>
      <sheetName val="Impl_-_Non-Reimburseable1"/>
      <sheetName val="Close_Out_-_Personnel1"/>
      <sheetName val="Close_Out_-_Milestones1"/>
      <sheetName val="Close_Out_-_Reimburseable1"/>
      <sheetName val="Close_Out_-_Non-Reimburseable1"/>
      <sheetName val="TZHDI_Forecast_Linking1"/>
      <sheetName val="Project_Total2"/>
      <sheetName val="DFID_Forecast2"/>
      <sheetName val="Input_Sheet2"/>
      <sheetName val="Grants_Forecast2"/>
      <sheetName val="Inc_-_Personnel2"/>
      <sheetName val="Inc_-_Milestones2"/>
      <sheetName val="Inc_-_Reimburseable2"/>
      <sheetName val="reimburs_detail2"/>
      <sheetName val="Inc_-_Non-Reimburseable2"/>
      <sheetName val="Impl_-_Personnel2"/>
      <sheetName val="Impl_-_Milestones2"/>
      <sheetName val="Impl_-_Reimburseable2"/>
      <sheetName val="Impl_-_Non-Reimburseable2"/>
      <sheetName val="Close_Out_-_Personnel2"/>
      <sheetName val="Close_Out_-_Milestones2"/>
      <sheetName val="Close_Out_-_Reimburseable2"/>
      <sheetName val="Close_Out_-_Non-Reimburseable2"/>
      <sheetName val="TZHDI_Forecast_Linking2"/>
    </sheetNames>
    <sheetDataSet>
      <sheetData sheetId="0">
        <row r="3">
          <cell r="CA3" t="str">
            <v>Select Type</v>
          </cell>
        </row>
        <row r="4">
          <cell r="CA4" t="str">
            <v>Actual</v>
          </cell>
        </row>
        <row r="5">
          <cell r="CA5" t="str">
            <v>Forecast</v>
          </cell>
        </row>
        <row r="7">
          <cell r="BZ7" t="str">
            <v>Actual</v>
          </cell>
          <cell r="CA7" t="str">
            <v>Actual</v>
          </cell>
          <cell r="CB7" t="str">
            <v>Actual</v>
          </cell>
          <cell r="CC7" t="str">
            <v>Actual</v>
          </cell>
          <cell r="CD7" t="str">
            <v>Actual</v>
          </cell>
          <cell r="CE7" t="str">
            <v>Actual</v>
          </cell>
          <cell r="CF7" t="str">
            <v>Actual</v>
          </cell>
          <cell r="CG7" t="str">
            <v>Actual</v>
          </cell>
          <cell r="CH7" t="str">
            <v>Actual</v>
          </cell>
          <cell r="CI7" t="str">
            <v>Actual</v>
          </cell>
          <cell r="CJ7" t="str">
            <v>Actual</v>
          </cell>
          <cell r="CK7" t="str">
            <v>Actual</v>
          </cell>
          <cell r="CL7" t="str">
            <v>Actual</v>
          </cell>
          <cell r="CM7" t="str">
            <v>Actual</v>
          </cell>
          <cell r="CN7" t="str">
            <v>Actual</v>
          </cell>
          <cell r="CO7" t="str">
            <v>Actual</v>
          </cell>
          <cell r="CP7" t="str">
            <v>Actual</v>
          </cell>
          <cell r="CQ7" t="str">
            <v>Actual</v>
          </cell>
          <cell r="CR7" t="str">
            <v>Actual</v>
          </cell>
          <cell r="CS7" t="str">
            <v>Actual</v>
          </cell>
          <cell r="CT7" t="str">
            <v>Actual</v>
          </cell>
          <cell r="CU7" t="str">
            <v>Actual</v>
          </cell>
          <cell r="CV7" t="str">
            <v>Actual</v>
          </cell>
          <cell r="CW7" t="str">
            <v>Actual</v>
          </cell>
          <cell r="CX7" t="str">
            <v>Actual</v>
          </cell>
          <cell r="CY7" t="str">
            <v>Actual</v>
          </cell>
          <cell r="CZ7" t="str">
            <v>Actual</v>
          </cell>
          <cell r="DA7" t="str">
            <v>Actual</v>
          </cell>
          <cell r="DB7" t="str">
            <v>Actual</v>
          </cell>
          <cell r="DC7" t="str">
            <v>Actual</v>
          </cell>
          <cell r="DD7" t="str">
            <v>Actual</v>
          </cell>
          <cell r="DE7" t="str">
            <v>Actual</v>
          </cell>
          <cell r="DF7" t="str">
            <v>Actual</v>
          </cell>
          <cell r="DG7" t="str">
            <v>Actual</v>
          </cell>
          <cell r="DH7" t="str">
            <v>Actual</v>
          </cell>
          <cell r="DI7" t="str">
            <v>Actual</v>
          </cell>
          <cell r="DJ7" t="str">
            <v>Actual</v>
          </cell>
          <cell r="DK7" t="str">
            <v>Actual</v>
          </cell>
          <cell r="DL7" t="str">
            <v>Actual</v>
          </cell>
          <cell r="DM7" t="str">
            <v>Actual</v>
          </cell>
          <cell r="DN7" t="str">
            <v>Actual</v>
          </cell>
          <cell r="DO7" t="str">
            <v>Actual</v>
          </cell>
          <cell r="DP7" t="str">
            <v>Actual</v>
          </cell>
          <cell r="DQ7" t="str">
            <v>Actual</v>
          </cell>
          <cell r="DR7" t="str">
            <v>Actual</v>
          </cell>
          <cell r="DS7" t="str">
            <v>Actual</v>
          </cell>
          <cell r="DT7" t="str">
            <v>Actual</v>
          </cell>
          <cell r="DU7" t="str">
            <v>Actual</v>
          </cell>
          <cell r="DV7" t="str">
            <v>Actual</v>
          </cell>
          <cell r="DW7" t="str">
            <v>Actual</v>
          </cell>
          <cell r="DX7" t="str">
            <v>Actual</v>
          </cell>
          <cell r="DY7" t="str">
            <v>Actual</v>
          </cell>
          <cell r="DZ7" t="str">
            <v>Actual</v>
          </cell>
          <cell r="EA7" t="str">
            <v>Actual</v>
          </cell>
          <cell r="EB7" t="str">
            <v>Actual</v>
          </cell>
          <cell r="EC7" t="str">
            <v>Actual</v>
          </cell>
          <cell r="ED7" t="str">
            <v>Actual</v>
          </cell>
          <cell r="EE7" t="str">
            <v>Actual</v>
          </cell>
          <cell r="EF7" t="str">
            <v>Actual</v>
          </cell>
          <cell r="EG7" t="str">
            <v>Actual</v>
          </cell>
          <cell r="EH7" t="str">
            <v>Actual</v>
          </cell>
          <cell r="EJ7" t="str">
            <v>Forecast</v>
          </cell>
          <cell r="EK7" t="str">
            <v>Forecast</v>
          </cell>
          <cell r="EL7" t="str">
            <v>Forecast</v>
          </cell>
          <cell r="EM7" t="str">
            <v>Forecast</v>
          </cell>
          <cell r="EN7" t="str">
            <v>Forecast</v>
          </cell>
          <cell r="EO7" t="str">
            <v>Forecast</v>
          </cell>
          <cell r="EP7" t="str">
            <v>Forecast</v>
          </cell>
          <cell r="EQ7" t="str">
            <v>Forecast</v>
          </cell>
          <cell r="ER7" t="str">
            <v>Forecast</v>
          </cell>
          <cell r="ES7" t="str">
            <v>Forecast</v>
          </cell>
          <cell r="ET7" t="str">
            <v>Forecast</v>
          </cell>
          <cell r="EU7" t="str">
            <v>Forecast</v>
          </cell>
          <cell r="EV7" t="str">
            <v>Forecast</v>
          </cell>
          <cell r="EW7" t="str">
            <v>Forecast</v>
          </cell>
          <cell r="EX7" t="str">
            <v>Forecast</v>
          </cell>
          <cell r="EY7" t="str">
            <v>Forecast</v>
          </cell>
          <cell r="EZ7" t="str">
            <v>Forecast</v>
          </cell>
          <cell r="FA7" t="str">
            <v>Forecast</v>
          </cell>
          <cell r="FB7" t="str">
            <v>Forecast</v>
          </cell>
          <cell r="FC7" t="str">
            <v>Forecast</v>
          </cell>
          <cell r="FD7" t="str">
            <v>Forecast</v>
          </cell>
          <cell r="FE7" t="str">
            <v>Forecast</v>
          </cell>
          <cell r="FF7" t="str">
            <v>Forecast</v>
          </cell>
          <cell r="FG7" t="str">
            <v>Forecast</v>
          </cell>
          <cell r="FH7" t="str">
            <v>Forecast</v>
          </cell>
          <cell r="FI7" t="str">
            <v>Forecast</v>
          </cell>
          <cell r="FJ7" t="str">
            <v>Forecast</v>
          </cell>
          <cell r="FK7" t="str">
            <v>Forecast</v>
          </cell>
          <cell r="FL7" t="str">
            <v>Forecast</v>
          </cell>
          <cell r="FM7" t="str">
            <v>Forecast</v>
          </cell>
          <cell r="FN7" t="str">
            <v>Forecast</v>
          </cell>
          <cell r="FO7" t="str">
            <v>Forecast</v>
          </cell>
          <cell r="FP7" t="str">
            <v>Forecast</v>
          </cell>
          <cell r="FQ7" t="str">
            <v>Forecast</v>
          </cell>
          <cell r="FR7" t="str">
            <v>Forecast</v>
          </cell>
          <cell r="FS7" t="str">
            <v>Forecast</v>
          </cell>
          <cell r="FT7" t="str">
            <v>Forecast</v>
          </cell>
          <cell r="FU7" t="str">
            <v>Forecast</v>
          </cell>
          <cell r="FV7" t="str">
            <v>Forecast</v>
          </cell>
          <cell r="FW7" t="str">
            <v>Forecast</v>
          </cell>
          <cell r="FX7" t="str">
            <v>Forecast</v>
          </cell>
          <cell r="FY7" t="str">
            <v>Forecast</v>
          </cell>
          <cell r="FZ7" t="str">
            <v>Forecast</v>
          </cell>
          <cell r="GA7" t="str">
            <v>Forecast</v>
          </cell>
          <cell r="GB7" t="str">
            <v>Forecast</v>
          </cell>
          <cell r="GC7" t="str">
            <v>Forecast</v>
          </cell>
          <cell r="GD7" t="str">
            <v>Forecast</v>
          </cell>
          <cell r="GE7" t="str">
            <v>Forecast</v>
          </cell>
          <cell r="GF7" t="str">
            <v>Forecast</v>
          </cell>
          <cell r="GG7" t="str">
            <v>Forecast</v>
          </cell>
          <cell r="GH7" t="str">
            <v>Forecast</v>
          </cell>
          <cell r="GI7" t="str">
            <v>Forecast</v>
          </cell>
          <cell r="GJ7" t="str">
            <v>Forecast</v>
          </cell>
          <cell r="GK7" t="str">
            <v>Forecast</v>
          </cell>
          <cell r="GL7" t="str">
            <v>Forecast</v>
          </cell>
          <cell r="GM7" t="str">
            <v>Forecast</v>
          </cell>
          <cell r="GN7" t="str">
            <v>Forecast</v>
          </cell>
          <cell r="GO7" t="str">
            <v>Forecast</v>
          </cell>
          <cell r="GP7" t="str">
            <v>Forecast</v>
          </cell>
          <cell r="GQ7" t="str">
            <v>Forecast</v>
          </cell>
          <cell r="GR7" t="str">
            <v>Forecast</v>
          </cell>
        </row>
        <row r="9">
          <cell r="BZ9">
            <v>41518</v>
          </cell>
          <cell r="CA9">
            <v>41548</v>
          </cell>
          <cell r="CB9">
            <v>41579</v>
          </cell>
          <cell r="CC9">
            <v>41609</v>
          </cell>
          <cell r="CD9">
            <v>41640</v>
          </cell>
          <cell r="CE9">
            <v>41671</v>
          </cell>
          <cell r="CF9">
            <v>41699</v>
          </cell>
          <cell r="CG9">
            <v>41730</v>
          </cell>
          <cell r="CH9">
            <v>41760</v>
          </cell>
          <cell r="CI9">
            <v>41791</v>
          </cell>
          <cell r="CJ9">
            <v>41821</v>
          </cell>
          <cell r="CK9">
            <v>41852</v>
          </cell>
          <cell r="CL9">
            <v>41883</v>
          </cell>
          <cell r="CM9">
            <v>41913</v>
          </cell>
          <cell r="CN9">
            <v>41944</v>
          </cell>
          <cell r="CO9">
            <v>41974</v>
          </cell>
          <cell r="CP9">
            <v>42005</v>
          </cell>
          <cell r="CQ9">
            <v>42036</v>
          </cell>
          <cell r="CR9">
            <v>42064</v>
          </cell>
          <cell r="CS9">
            <v>42095</v>
          </cell>
          <cell r="CT9">
            <v>42125</v>
          </cell>
          <cell r="CU9">
            <v>42156</v>
          </cell>
          <cell r="CV9">
            <v>42186</v>
          </cell>
          <cell r="CW9">
            <v>42217</v>
          </cell>
          <cell r="CX9">
            <v>42248</v>
          </cell>
          <cell r="CY9">
            <v>42278</v>
          </cell>
          <cell r="CZ9">
            <v>42309</v>
          </cell>
          <cell r="DA9">
            <v>42339</v>
          </cell>
          <cell r="DB9">
            <v>42370</v>
          </cell>
          <cell r="DC9">
            <v>42401</v>
          </cell>
          <cell r="DD9">
            <v>42430</v>
          </cell>
          <cell r="DE9">
            <v>42461</v>
          </cell>
          <cell r="DF9">
            <v>42491</v>
          </cell>
          <cell r="DG9">
            <v>42522</v>
          </cell>
          <cell r="DH9">
            <v>42552</v>
          </cell>
          <cell r="DI9">
            <v>42583</v>
          </cell>
          <cell r="DJ9">
            <v>42614</v>
          </cell>
          <cell r="DK9">
            <v>42644</v>
          </cell>
          <cell r="DL9">
            <v>42675</v>
          </cell>
          <cell r="DM9">
            <v>42705</v>
          </cell>
          <cell r="DN9">
            <v>42736</v>
          </cell>
          <cell r="DO9">
            <v>42767</v>
          </cell>
          <cell r="DP9">
            <v>42795</v>
          </cell>
          <cell r="DQ9">
            <v>42826</v>
          </cell>
          <cell r="DR9">
            <v>42856</v>
          </cell>
          <cell r="DS9">
            <v>42887</v>
          </cell>
          <cell r="DT9">
            <v>42917</v>
          </cell>
          <cell r="DU9">
            <v>42948</v>
          </cell>
          <cell r="DV9">
            <v>42979</v>
          </cell>
          <cell r="DW9">
            <v>43009</v>
          </cell>
          <cell r="DX9">
            <v>43040</v>
          </cell>
          <cell r="DY9">
            <v>43070</v>
          </cell>
          <cell r="DZ9">
            <v>43101</v>
          </cell>
          <cell r="EA9">
            <v>43132</v>
          </cell>
          <cell r="EB9">
            <v>43160</v>
          </cell>
          <cell r="EC9">
            <v>43191</v>
          </cell>
          <cell r="ED9">
            <v>43221</v>
          </cell>
          <cell r="EE9">
            <v>43252</v>
          </cell>
          <cell r="EF9">
            <v>43282</v>
          </cell>
          <cell r="EG9">
            <v>43313</v>
          </cell>
          <cell r="EH9">
            <v>43344</v>
          </cell>
          <cell r="EJ9">
            <v>41518</v>
          </cell>
          <cell r="EK9">
            <v>41548</v>
          </cell>
          <cell r="EL9">
            <v>41579</v>
          </cell>
          <cell r="EM9">
            <v>41609</v>
          </cell>
          <cell r="EN9">
            <v>41640</v>
          </cell>
          <cell r="EO9">
            <v>41671</v>
          </cell>
          <cell r="EP9">
            <v>41699</v>
          </cell>
          <cell r="EQ9">
            <v>41730</v>
          </cell>
          <cell r="ER9">
            <v>41760</v>
          </cell>
          <cell r="ES9">
            <v>41791</v>
          </cell>
          <cell r="ET9">
            <v>41821</v>
          </cell>
          <cell r="EU9">
            <v>41852</v>
          </cell>
          <cell r="EV9">
            <v>41883</v>
          </cell>
          <cell r="EW9">
            <v>41913</v>
          </cell>
          <cell r="EX9">
            <v>41944</v>
          </cell>
          <cell r="EY9">
            <v>41974</v>
          </cell>
          <cell r="EZ9">
            <v>42005</v>
          </cell>
          <cell r="FA9">
            <v>42036</v>
          </cell>
          <cell r="FB9">
            <v>42064</v>
          </cell>
          <cell r="FC9">
            <v>42095</v>
          </cell>
          <cell r="FD9">
            <v>42125</v>
          </cell>
          <cell r="FE9">
            <v>42156</v>
          </cell>
          <cell r="FF9">
            <v>42186</v>
          </cell>
          <cell r="FG9">
            <v>42217</v>
          </cell>
          <cell r="FH9">
            <v>42248</v>
          </cell>
          <cell r="FI9">
            <v>42278</v>
          </cell>
          <cell r="FJ9">
            <v>42309</v>
          </cell>
          <cell r="FK9">
            <v>42339</v>
          </cell>
          <cell r="FL9">
            <v>42370</v>
          </cell>
          <cell r="FM9">
            <v>42401</v>
          </cell>
          <cell r="FN9">
            <v>42430</v>
          </cell>
          <cell r="FO9">
            <v>42461</v>
          </cell>
          <cell r="FP9">
            <v>42491</v>
          </cell>
          <cell r="FQ9">
            <v>42522</v>
          </cell>
          <cell r="FR9">
            <v>42552</v>
          </cell>
          <cell r="FS9">
            <v>42583</v>
          </cell>
          <cell r="FT9">
            <v>42614</v>
          </cell>
          <cell r="FU9">
            <v>42644</v>
          </cell>
          <cell r="FV9">
            <v>42675</v>
          </cell>
          <cell r="FW9">
            <v>42705</v>
          </cell>
          <cell r="FX9">
            <v>42736</v>
          </cell>
          <cell r="FY9">
            <v>42767</v>
          </cell>
          <cell r="FZ9">
            <v>42795</v>
          </cell>
          <cell r="GA9">
            <v>42826</v>
          </cell>
          <cell r="GB9">
            <v>42856</v>
          </cell>
          <cell r="GC9">
            <v>42887</v>
          </cell>
          <cell r="GD9">
            <v>42917</v>
          </cell>
          <cell r="GE9">
            <v>42948</v>
          </cell>
          <cell r="GF9">
            <v>42979</v>
          </cell>
          <cell r="GG9">
            <v>43009</v>
          </cell>
          <cell r="GH9">
            <v>43040</v>
          </cell>
          <cell r="GI9">
            <v>43070</v>
          </cell>
          <cell r="GJ9">
            <v>43101</v>
          </cell>
          <cell r="GK9">
            <v>43132</v>
          </cell>
          <cell r="GL9">
            <v>43160</v>
          </cell>
          <cell r="GM9">
            <v>43191</v>
          </cell>
          <cell r="GN9">
            <v>43221</v>
          </cell>
          <cell r="GO9">
            <v>43252</v>
          </cell>
          <cell r="GP9">
            <v>43282</v>
          </cell>
          <cell r="GQ9">
            <v>43313</v>
          </cell>
          <cell r="GR9">
            <v>43344</v>
          </cell>
        </row>
        <row r="11">
          <cell r="BY11" t="str">
            <v>Personnel Fees</v>
          </cell>
          <cell r="BZ11">
            <v>7090</v>
          </cell>
          <cell r="CA11">
            <v>21077.5</v>
          </cell>
          <cell r="CB11">
            <v>32063.75</v>
          </cell>
          <cell r="CC11">
            <v>36006.25</v>
          </cell>
          <cell r="CD11">
            <v>25247.25</v>
          </cell>
          <cell r="CE11">
            <v>45683</v>
          </cell>
          <cell r="CF11">
            <v>33463.625</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t="str">
            <v>Personnel Fees</v>
          </cell>
          <cell r="EJ11">
            <v>6090</v>
          </cell>
          <cell r="EK11">
            <v>13615</v>
          </cell>
          <cell r="EL11">
            <v>27725</v>
          </cell>
          <cell r="EM11">
            <v>30320</v>
          </cell>
          <cell r="EN11">
            <v>23247.5</v>
          </cell>
          <cell r="EO11">
            <v>25320.5</v>
          </cell>
          <cell r="EP11">
            <v>50834.5</v>
          </cell>
          <cell r="EQ11">
            <v>0</v>
          </cell>
          <cell r="ER11">
            <v>35301.5</v>
          </cell>
          <cell r="ES11">
            <v>30283</v>
          </cell>
          <cell r="ET11">
            <v>34324.369565217392</v>
          </cell>
          <cell r="EU11">
            <v>33334.369565217392</v>
          </cell>
          <cell r="EV11">
            <v>34324.369565217392</v>
          </cell>
          <cell r="EW11">
            <v>33334.369565217392</v>
          </cell>
          <cell r="EX11">
            <v>34324.369565217392</v>
          </cell>
          <cell r="EY11">
            <v>33334.369565217392</v>
          </cell>
          <cell r="EZ11">
            <v>34324.369565217392</v>
          </cell>
          <cell r="FA11">
            <v>33334.369565217392</v>
          </cell>
          <cell r="FB11">
            <v>33334.369565217392</v>
          </cell>
          <cell r="FC11">
            <v>33334.369565217392</v>
          </cell>
          <cell r="FD11">
            <v>33334.369565217392</v>
          </cell>
          <cell r="FE11">
            <v>36634.369565217392</v>
          </cell>
          <cell r="FF11">
            <v>33334.369565217392</v>
          </cell>
          <cell r="FG11">
            <v>33334.369565217392</v>
          </cell>
          <cell r="FH11">
            <v>33334.369565217392</v>
          </cell>
          <cell r="FI11">
            <v>33334.369565217392</v>
          </cell>
          <cell r="FJ11">
            <v>33334.369565217392</v>
          </cell>
          <cell r="FK11">
            <v>33334.369565217392</v>
          </cell>
          <cell r="FL11">
            <v>33334.369565217392</v>
          </cell>
          <cell r="FM11">
            <v>33334.369565217392</v>
          </cell>
          <cell r="FN11">
            <v>33334.369565217392</v>
          </cell>
          <cell r="FO11">
            <v>33334.369565217392</v>
          </cell>
          <cell r="FP11">
            <v>33334.369565217392</v>
          </cell>
          <cell r="FQ11">
            <v>36634.369565217392</v>
          </cell>
          <cell r="FR11">
            <v>33334.369565217392</v>
          </cell>
          <cell r="FS11">
            <v>33334.369565217392</v>
          </cell>
          <cell r="FT11">
            <v>33334.369565217392</v>
          </cell>
          <cell r="FU11">
            <v>33334.369565217392</v>
          </cell>
          <cell r="FV11">
            <v>34984.369565217392</v>
          </cell>
          <cell r="FW11">
            <v>33334.369565217392</v>
          </cell>
          <cell r="FX11">
            <v>33334.369565217392</v>
          </cell>
          <cell r="FY11">
            <v>33334.369565217392</v>
          </cell>
          <cell r="FZ11">
            <v>33334.369565217392</v>
          </cell>
          <cell r="GA11">
            <v>33334.369565217392</v>
          </cell>
          <cell r="GB11">
            <v>33334.369565217392</v>
          </cell>
          <cell r="GC11">
            <v>36634.369565217392</v>
          </cell>
          <cell r="GD11">
            <v>33334.369565217392</v>
          </cell>
          <cell r="GE11">
            <v>33334.369565217392</v>
          </cell>
          <cell r="GF11">
            <v>34332.446488294314</v>
          </cell>
          <cell r="GG11">
            <v>30382.39576365663</v>
          </cell>
          <cell r="GH11">
            <v>30382.39576365663</v>
          </cell>
          <cell r="GI11">
            <v>58262.395763656634</v>
          </cell>
          <cell r="GJ11">
            <v>30382.39576365663</v>
          </cell>
          <cell r="GK11">
            <v>30382.39576365663</v>
          </cell>
          <cell r="GL11">
            <v>28058.263807134892</v>
          </cell>
          <cell r="GM11">
            <v>26055.80880713489</v>
          </cell>
          <cell r="GN11">
            <v>22791.80880713489</v>
          </cell>
          <cell r="GO11">
            <v>16082.475473801562</v>
          </cell>
          <cell r="GP11">
            <v>16211.565256410258</v>
          </cell>
          <cell r="GQ11">
            <v>13922.190256410258</v>
          </cell>
          <cell r="GR11">
            <v>4548.0769230769229</v>
          </cell>
        </row>
        <row r="12">
          <cell r="BY12" t="str">
            <v>Milestones</v>
          </cell>
          <cell r="BZ12">
            <v>24766</v>
          </cell>
          <cell r="CA12">
            <v>-24766</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t="str">
            <v>Milestones</v>
          </cell>
          <cell r="EJ12">
            <v>24766</v>
          </cell>
          <cell r="EK12">
            <v>0</v>
          </cell>
          <cell r="EL12">
            <v>0</v>
          </cell>
          <cell r="EM12">
            <v>0</v>
          </cell>
          <cell r="EN12">
            <v>0</v>
          </cell>
          <cell r="EO12">
            <v>0</v>
          </cell>
          <cell r="EP12">
            <v>0</v>
          </cell>
          <cell r="EQ12">
            <v>0</v>
          </cell>
          <cell r="ER12">
            <v>157766</v>
          </cell>
          <cell r="ES12">
            <v>165000</v>
          </cell>
          <cell r="ET12">
            <v>0</v>
          </cell>
          <cell r="EU12">
            <v>0</v>
          </cell>
          <cell r="EV12">
            <v>187500</v>
          </cell>
          <cell r="EW12">
            <v>0</v>
          </cell>
          <cell r="EX12">
            <v>0</v>
          </cell>
          <cell r="EY12">
            <v>32500</v>
          </cell>
          <cell r="EZ12">
            <v>0</v>
          </cell>
          <cell r="FA12">
            <v>0</v>
          </cell>
          <cell r="FB12">
            <v>32500</v>
          </cell>
          <cell r="FC12">
            <v>0</v>
          </cell>
          <cell r="FD12">
            <v>200000</v>
          </cell>
          <cell r="FE12">
            <v>32500</v>
          </cell>
          <cell r="FF12">
            <v>0</v>
          </cell>
          <cell r="FG12">
            <v>0</v>
          </cell>
          <cell r="FH12">
            <v>187500</v>
          </cell>
          <cell r="FI12">
            <v>0</v>
          </cell>
          <cell r="FJ12">
            <v>0</v>
          </cell>
          <cell r="FK12">
            <v>32500</v>
          </cell>
          <cell r="FL12">
            <v>0</v>
          </cell>
          <cell r="FM12">
            <v>0</v>
          </cell>
          <cell r="FN12">
            <v>32500</v>
          </cell>
          <cell r="FO12">
            <v>0</v>
          </cell>
          <cell r="FP12">
            <v>0</v>
          </cell>
          <cell r="FQ12">
            <v>32500</v>
          </cell>
          <cell r="FR12">
            <v>0</v>
          </cell>
          <cell r="FS12">
            <v>0</v>
          </cell>
          <cell r="FT12">
            <v>187500</v>
          </cell>
          <cell r="FU12">
            <v>0</v>
          </cell>
          <cell r="FV12">
            <v>0</v>
          </cell>
          <cell r="FW12">
            <v>32500</v>
          </cell>
          <cell r="FX12">
            <v>0</v>
          </cell>
          <cell r="FY12">
            <v>0</v>
          </cell>
          <cell r="FZ12">
            <v>32500</v>
          </cell>
          <cell r="GA12">
            <v>0</v>
          </cell>
          <cell r="GB12">
            <v>0</v>
          </cell>
          <cell r="GC12">
            <v>32500</v>
          </cell>
          <cell r="GD12">
            <v>0</v>
          </cell>
          <cell r="GE12">
            <v>0</v>
          </cell>
          <cell r="GF12">
            <v>252500</v>
          </cell>
          <cell r="GG12">
            <v>0</v>
          </cell>
          <cell r="GH12">
            <v>0</v>
          </cell>
          <cell r="GI12">
            <v>32500</v>
          </cell>
          <cell r="GJ12">
            <v>0</v>
          </cell>
          <cell r="GK12">
            <v>0</v>
          </cell>
          <cell r="GL12">
            <v>32500</v>
          </cell>
          <cell r="GM12">
            <v>0</v>
          </cell>
          <cell r="GN12">
            <v>0</v>
          </cell>
          <cell r="GO12">
            <v>32500</v>
          </cell>
          <cell r="GP12">
            <v>0</v>
          </cell>
          <cell r="GQ12">
            <v>0</v>
          </cell>
          <cell r="GR12">
            <v>304949</v>
          </cell>
        </row>
        <row r="13">
          <cell r="BY13" t="str">
            <v>Grants</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t="str">
            <v>Grants</v>
          </cell>
          <cell r="EJ13">
            <v>0</v>
          </cell>
          <cell r="EK13">
            <v>500000</v>
          </cell>
          <cell r="EL13">
            <v>0</v>
          </cell>
          <cell r="EM13">
            <v>375000</v>
          </cell>
          <cell r="EN13">
            <v>0</v>
          </cell>
          <cell r="EO13">
            <v>0</v>
          </cell>
          <cell r="EP13">
            <v>0</v>
          </cell>
          <cell r="EQ13">
            <v>0</v>
          </cell>
          <cell r="ER13">
            <v>270000</v>
          </cell>
          <cell r="ES13">
            <v>0</v>
          </cell>
          <cell r="ET13">
            <v>0</v>
          </cell>
          <cell r="EU13">
            <v>263263</v>
          </cell>
          <cell r="EV13">
            <v>250000</v>
          </cell>
          <cell r="EW13">
            <v>0</v>
          </cell>
          <cell r="EX13">
            <v>463262.99999999988</v>
          </cell>
          <cell r="EY13">
            <v>250000</v>
          </cell>
          <cell r="EZ13">
            <v>0</v>
          </cell>
          <cell r="FA13">
            <v>463262.99999999988</v>
          </cell>
          <cell r="FB13">
            <v>250000</v>
          </cell>
          <cell r="FC13">
            <v>567272.72727272718</v>
          </cell>
          <cell r="FD13">
            <v>463262.99999999988</v>
          </cell>
          <cell r="FE13">
            <v>250000</v>
          </cell>
          <cell r="FF13">
            <v>567272.72727272718</v>
          </cell>
          <cell r="FG13">
            <v>463262.99999999988</v>
          </cell>
          <cell r="FH13">
            <v>250000</v>
          </cell>
          <cell r="FI13">
            <v>567272.72727272718</v>
          </cell>
          <cell r="FJ13">
            <v>463262.99999999988</v>
          </cell>
          <cell r="FK13">
            <v>250000</v>
          </cell>
          <cell r="FL13">
            <v>567272.72727272718</v>
          </cell>
          <cell r="FM13">
            <v>463262.99999999988</v>
          </cell>
          <cell r="FN13">
            <v>250000</v>
          </cell>
          <cell r="FO13">
            <v>0</v>
          </cell>
          <cell r="FP13">
            <v>0</v>
          </cell>
          <cell r="FQ13">
            <v>0</v>
          </cell>
          <cell r="FR13">
            <v>0</v>
          </cell>
          <cell r="FS13">
            <v>0</v>
          </cell>
          <cell r="FT13">
            <v>0</v>
          </cell>
          <cell r="FU13">
            <v>0</v>
          </cell>
          <cell r="FV13">
            <v>0</v>
          </cell>
          <cell r="FW13">
            <v>0</v>
          </cell>
          <cell r="FX13">
            <v>0</v>
          </cell>
          <cell r="FY13">
            <v>0</v>
          </cell>
          <cell r="FZ13">
            <v>0</v>
          </cell>
          <cell r="GA13">
            <v>0</v>
          </cell>
          <cell r="GB13">
            <v>0</v>
          </cell>
          <cell r="GC13">
            <v>0</v>
          </cell>
          <cell r="GD13">
            <v>0</v>
          </cell>
          <cell r="GE13">
            <v>0</v>
          </cell>
          <cell r="GF13">
            <v>5838.4615384615381</v>
          </cell>
          <cell r="GG13">
            <v>15467.628205128205</v>
          </cell>
          <cell r="GH13">
            <v>14567.628205128205</v>
          </cell>
          <cell r="GI13">
            <v>14567.628205128205</v>
          </cell>
          <cell r="GJ13">
            <v>15467.628205128205</v>
          </cell>
          <cell r="GK13">
            <v>14567.628205128205</v>
          </cell>
          <cell r="GL13">
            <v>14567.628205128205</v>
          </cell>
          <cell r="GM13">
            <v>15467.628205128205</v>
          </cell>
          <cell r="GN13">
            <v>14567.628205128205</v>
          </cell>
          <cell r="GO13">
            <v>14567.628205128205</v>
          </cell>
          <cell r="GP13">
            <v>14567.628205128205</v>
          </cell>
          <cell r="GQ13">
            <v>15467.628205128205</v>
          </cell>
          <cell r="GR13">
            <v>13467.628205128205</v>
          </cell>
        </row>
        <row r="14">
          <cell r="BY14" t="str">
            <v>Reimburseables</v>
          </cell>
          <cell r="BZ14">
            <v>55346.92</v>
          </cell>
          <cell r="CA14">
            <v>31337.68</v>
          </cell>
          <cell r="CB14">
            <v>18025.829999999998</v>
          </cell>
          <cell r="CC14">
            <v>20415.950000000004</v>
          </cell>
          <cell r="CD14">
            <v>30849.439999999999</v>
          </cell>
          <cell r="CE14">
            <v>33125.25</v>
          </cell>
          <cell r="CF14">
            <v>32557.279999999995</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t="str">
            <v>Reimburseables</v>
          </cell>
          <cell r="EJ14">
            <v>54421.689291101058</v>
          </cell>
          <cell r="EK14">
            <v>29013.846153846127</v>
          </cell>
          <cell r="EL14">
            <v>28230</v>
          </cell>
          <cell r="EM14">
            <v>104900</v>
          </cell>
          <cell r="EN14">
            <v>13996.774193548386</v>
          </cell>
          <cell r="EO14">
            <v>49325</v>
          </cell>
          <cell r="EP14">
            <v>15050</v>
          </cell>
          <cell r="EQ14">
            <v>0</v>
          </cell>
          <cell r="ER14">
            <v>31250</v>
          </cell>
          <cell r="ES14">
            <v>70710</v>
          </cell>
          <cell r="ET14">
            <v>11550</v>
          </cell>
          <cell r="EU14">
            <v>11256.521739130432</v>
          </cell>
          <cell r="EV14">
            <v>92688.925739130413</v>
          </cell>
          <cell r="EW14">
            <v>37356.521739130432</v>
          </cell>
          <cell r="EX14">
            <v>11256.521739130432</v>
          </cell>
          <cell r="EY14">
            <v>60388.925739130413</v>
          </cell>
          <cell r="EZ14">
            <v>37356.521739130432</v>
          </cell>
          <cell r="FA14">
            <v>10356.521739130432</v>
          </cell>
          <cell r="FB14">
            <v>61288.925739130413</v>
          </cell>
          <cell r="FC14">
            <v>37356.52173913049</v>
          </cell>
          <cell r="FD14">
            <v>71621.976284584962</v>
          </cell>
          <cell r="FE14">
            <v>60388.925739130413</v>
          </cell>
          <cell r="FF14">
            <v>38256.52173913049</v>
          </cell>
          <cell r="FG14">
            <v>71621.976284584962</v>
          </cell>
          <cell r="FH14">
            <v>119678.92573913041</v>
          </cell>
          <cell r="FI14">
            <v>37356.52173913049</v>
          </cell>
          <cell r="FJ14">
            <v>72521.976284584962</v>
          </cell>
          <cell r="FK14">
            <v>60388.925739130413</v>
          </cell>
          <cell r="FL14">
            <v>37356.52173913049</v>
          </cell>
          <cell r="FM14">
            <v>71621.976284584962</v>
          </cell>
          <cell r="FN14">
            <v>61288.925739130413</v>
          </cell>
          <cell r="FO14">
            <v>198981.52173913043</v>
          </cell>
          <cell r="FP14">
            <v>198981.52173913043</v>
          </cell>
          <cell r="FQ14">
            <v>198981.52173913043</v>
          </cell>
          <cell r="FR14">
            <v>199881.52173913043</v>
          </cell>
          <cell r="FS14">
            <v>198981.52173913043</v>
          </cell>
          <cell r="FT14">
            <v>264200.52173913043</v>
          </cell>
          <cell r="FU14">
            <v>199881.52173913043</v>
          </cell>
          <cell r="FV14">
            <v>198981.52173913043</v>
          </cell>
          <cell r="FW14">
            <v>198981.52173913043</v>
          </cell>
          <cell r="FX14">
            <v>199881.52173913043</v>
          </cell>
          <cell r="FY14">
            <v>198981.52173913043</v>
          </cell>
          <cell r="FZ14">
            <v>198981.52173913043</v>
          </cell>
          <cell r="GA14">
            <v>199881.52173913043</v>
          </cell>
          <cell r="GB14">
            <v>198981.52173913043</v>
          </cell>
          <cell r="GC14">
            <v>199881.52173913043</v>
          </cell>
          <cell r="GD14">
            <v>198981.52173913043</v>
          </cell>
          <cell r="GE14">
            <v>199881.52173913043</v>
          </cell>
          <cell r="GF14">
            <v>198981.52173913043</v>
          </cell>
          <cell r="GG14">
            <v>688.91666666666663</v>
          </cell>
          <cell r="GH14">
            <v>688.91666666666663</v>
          </cell>
          <cell r="GI14">
            <v>688.91666666666663</v>
          </cell>
          <cell r="GJ14">
            <v>688.91666666666663</v>
          </cell>
          <cell r="GK14">
            <v>688.91666666666663</v>
          </cell>
          <cell r="GL14">
            <v>688.91666666666663</v>
          </cell>
          <cell r="GM14">
            <v>688.91666666666663</v>
          </cell>
          <cell r="GN14">
            <v>688.91666666666663</v>
          </cell>
          <cell r="GO14">
            <v>688.91666666666663</v>
          </cell>
          <cell r="GP14">
            <v>688.91666666666663</v>
          </cell>
          <cell r="GQ14">
            <v>688.91666666666663</v>
          </cell>
          <cell r="GR14">
            <v>3188.9166666666665</v>
          </cell>
        </row>
        <row r="20">
          <cell r="BY20" t="str">
            <v>Personnel Expenses</v>
          </cell>
          <cell r="BZ20">
            <v>0</v>
          </cell>
          <cell r="CA20">
            <v>2394.61</v>
          </cell>
          <cell r="CB20">
            <v>38036.83</v>
          </cell>
          <cell r="CC20">
            <v>14728.45</v>
          </cell>
          <cell r="CD20">
            <v>30011.33</v>
          </cell>
          <cell r="CE20">
            <v>68710.709999999992</v>
          </cell>
          <cell r="CF20">
            <v>10652.470000000001</v>
          </cell>
          <cell r="CG20">
            <v>0</v>
          </cell>
          <cell r="CH20" t="e">
            <v>#VALUE!</v>
          </cell>
          <cell r="CI20" t="e">
            <v>#VALUE!</v>
          </cell>
          <cell r="CJ20" t="e">
            <v>#VALUE!</v>
          </cell>
          <cell r="CK20" t="e">
            <v>#VALUE!</v>
          </cell>
          <cell r="CL20" t="e">
            <v>#VALUE!</v>
          </cell>
          <cell r="CM20" t="e">
            <v>#VALUE!</v>
          </cell>
          <cell r="CN20" t="e">
            <v>#VALUE!</v>
          </cell>
          <cell r="CO20" t="e">
            <v>#VALUE!</v>
          </cell>
          <cell r="CP20" t="e">
            <v>#VALUE!</v>
          </cell>
          <cell r="CQ20" t="e">
            <v>#VALUE!</v>
          </cell>
          <cell r="CR20" t="e">
            <v>#VALUE!</v>
          </cell>
          <cell r="CS20" t="e">
            <v>#VALUE!</v>
          </cell>
          <cell r="CT20" t="e">
            <v>#VALUE!</v>
          </cell>
          <cell r="CU20" t="e">
            <v>#VALUE!</v>
          </cell>
          <cell r="CV20" t="e">
            <v>#VALUE!</v>
          </cell>
          <cell r="CW20" t="e">
            <v>#VALUE!</v>
          </cell>
          <cell r="CX20" t="e">
            <v>#VALUE!</v>
          </cell>
          <cell r="CY20" t="e">
            <v>#VALUE!</v>
          </cell>
          <cell r="CZ20" t="e">
            <v>#VALUE!</v>
          </cell>
          <cell r="DA20" t="e">
            <v>#VALUE!</v>
          </cell>
          <cell r="DB20" t="e">
            <v>#VALUE!</v>
          </cell>
          <cell r="DC20" t="e">
            <v>#VALUE!</v>
          </cell>
          <cell r="DD20" t="e">
            <v>#VALUE!</v>
          </cell>
          <cell r="DE20" t="e">
            <v>#VALUE!</v>
          </cell>
          <cell r="DF20" t="e">
            <v>#VALUE!</v>
          </cell>
          <cell r="DG20" t="e">
            <v>#VALUE!</v>
          </cell>
          <cell r="DH20" t="e">
            <v>#VALUE!</v>
          </cell>
          <cell r="DI20" t="e">
            <v>#VALUE!</v>
          </cell>
          <cell r="DJ20" t="e">
            <v>#VALUE!</v>
          </cell>
          <cell r="DK20" t="e">
            <v>#VALUE!</v>
          </cell>
          <cell r="DL20" t="e">
            <v>#VALUE!</v>
          </cell>
          <cell r="DM20" t="e">
            <v>#VALUE!</v>
          </cell>
          <cell r="DN20" t="e">
            <v>#VALUE!</v>
          </cell>
          <cell r="DO20" t="e">
            <v>#VALUE!</v>
          </cell>
          <cell r="DP20" t="e">
            <v>#VALUE!</v>
          </cell>
          <cell r="DQ20" t="e">
            <v>#VALUE!</v>
          </cell>
          <cell r="DR20" t="e">
            <v>#VALUE!</v>
          </cell>
          <cell r="DS20" t="e">
            <v>#VALUE!</v>
          </cell>
          <cell r="DT20" t="e">
            <v>#VALUE!</v>
          </cell>
          <cell r="DU20" t="e">
            <v>#VALUE!</v>
          </cell>
          <cell r="DV20" t="e">
            <v>#VALUE!</v>
          </cell>
          <cell r="DW20">
            <v>0</v>
          </cell>
          <cell r="DX20">
            <v>0</v>
          </cell>
          <cell r="DY20">
            <v>0</v>
          </cell>
          <cell r="DZ20">
            <v>0</v>
          </cell>
          <cell r="EA20">
            <v>0</v>
          </cell>
          <cell r="EB20">
            <v>0</v>
          </cell>
          <cell r="EC20">
            <v>0</v>
          </cell>
          <cell r="ED20">
            <v>0</v>
          </cell>
          <cell r="EE20">
            <v>0</v>
          </cell>
          <cell r="EF20">
            <v>0</v>
          </cell>
          <cell r="EG20">
            <v>0</v>
          </cell>
          <cell r="EH20">
            <v>0</v>
          </cell>
          <cell r="EI20" t="str">
            <v>Personnel Expenses</v>
          </cell>
          <cell r="EJ20">
            <v>4137.6000000000004</v>
          </cell>
          <cell r="EK20">
            <v>10845.6</v>
          </cell>
          <cell r="EL20">
            <v>25733.199999999997</v>
          </cell>
          <cell r="EM20">
            <v>42469</v>
          </cell>
          <cell r="EN20">
            <v>19169.599999999999</v>
          </cell>
          <cell r="EO20">
            <v>26348</v>
          </cell>
          <cell r="EP20">
            <v>88425.453375099998</v>
          </cell>
          <cell r="EQ20">
            <v>57798.688100240004</v>
          </cell>
          <cell r="ER20">
            <v>58352.800000000003</v>
          </cell>
          <cell r="ES20">
            <v>39302.043478260872</v>
          </cell>
          <cell r="ET20">
            <v>46082.478260869568</v>
          </cell>
          <cell r="EU20">
            <v>44282.478260869568</v>
          </cell>
          <cell r="EV20">
            <v>46082.478260869568</v>
          </cell>
          <cell r="EW20">
            <v>45863.407826086957</v>
          </cell>
          <cell r="EX20">
            <v>47663.407826086957</v>
          </cell>
          <cell r="EY20">
            <v>45863.407826086957</v>
          </cell>
          <cell r="EZ20">
            <v>47663.407826086957</v>
          </cell>
          <cell r="FA20">
            <v>45863.407826086957</v>
          </cell>
          <cell r="FB20">
            <v>45863.407826086957</v>
          </cell>
          <cell r="FC20">
            <v>45863.407826086957</v>
          </cell>
          <cell r="FD20">
            <v>45863.407826086957</v>
          </cell>
          <cell r="FE20">
            <v>51863.407826086957</v>
          </cell>
          <cell r="FF20">
            <v>45863.407826086957</v>
          </cell>
          <cell r="FG20">
            <v>45863.407826086957</v>
          </cell>
          <cell r="FH20">
            <v>45863.407826086957</v>
          </cell>
          <cell r="FI20">
            <v>47573.890800000001</v>
          </cell>
          <cell r="FJ20">
            <v>47573.890800000001</v>
          </cell>
          <cell r="FK20">
            <v>47573.890800000001</v>
          </cell>
          <cell r="FL20">
            <v>47573.890800000001</v>
          </cell>
          <cell r="FM20">
            <v>47573.890800000001</v>
          </cell>
          <cell r="FN20">
            <v>47573.890800000001</v>
          </cell>
          <cell r="FO20">
            <v>47573.890800000001</v>
          </cell>
          <cell r="FP20">
            <v>47573.890800000001</v>
          </cell>
          <cell r="FQ20">
            <v>53573.890800000001</v>
          </cell>
          <cell r="FR20">
            <v>47573.890800000001</v>
          </cell>
          <cell r="FS20">
            <v>47573.890800000001</v>
          </cell>
          <cell r="FT20">
            <v>47573.890800000001</v>
          </cell>
          <cell r="FU20">
            <v>49426.026337043477</v>
          </cell>
          <cell r="FV20">
            <v>52426.026337043477</v>
          </cell>
          <cell r="FW20">
            <v>49426.026337043477</v>
          </cell>
          <cell r="FX20">
            <v>49426.026337043477</v>
          </cell>
          <cell r="FY20">
            <v>49426.026337043477</v>
          </cell>
          <cell r="FZ20">
            <v>49426.026337043477</v>
          </cell>
          <cell r="GA20">
            <v>49426.026337043477</v>
          </cell>
          <cell r="GB20">
            <v>49426.026337043477</v>
          </cell>
          <cell r="GC20">
            <v>55426.026337043477</v>
          </cell>
          <cell r="GD20">
            <v>49426.026337043477</v>
          </cell>
          <cell r="GE20">
            <v>49426.026337043477</v>
          </cell>
          <cell r="GF20">
            <v>49767.649505542038</v>
          </cell>
          <cell r="GG20">
            <v>47246.970417772463</v>
          </cell>
          <cell r="GH20">
            <v>47246.970417772463</v>
          </cell>
          <cell r="GI20">
            <v>93586.970417772463</v>
          </cell>
          <cell r="GJ20">
            <v>47246.970417772463</v>
          </cell>
          <cell r="GK20">
            <v>47246.970417772463</v>
          </cell>
          <cell r="GL20">
            <v>42993.561790381158</v>
          </cell>
          <cell r="GM20">
            <v>39328.85620038116</v>
          </cell>
          <cell r="GN20">
            <v>34100.66617986116</v>
          </cell>
          <cell r="GO20">
            <v>23353.831137681162</v>
          </cell>
          <cell r="GP20">
            <v>23588.539833333332</v>
          </cell>
          <cell r="GQ20">
            <v>19426.039833333336</v>
          </cell>
          <cell r="GR20">
            <v>4583.5745000000006</v>
          </cell>
        </row>
        <row r="21">
          <cell r="BY21" t="str">
            <v>Grant Expense</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t="str">
            <v>Grant Expense</v>
          </cell>
          <cell r="EJ21">
            <v>0</v>
          </cell>
          <cell r="EK21">
            <v>500000</v>
          </cell>
          <cell r="EL21">
            <v>0</v>
          </cell>
          <cell r="EM21">
            <v>375000</v>
          </cell>
          <cell r="EN21">
            <v>0</v>
          </cell>
          <cell r="EO21">
            <v>0</v>
          </cell>
          <cell r="EP21">
            <v>0</v>
          </cell>
          <cell r="EQ21">
            <v>0</v>
          </cell>
          <cell r="ER21">
            <v>270000</v>
          </cell>
          <cell r="ES21">
            <v>0</v>
          </cell>
          <cell r="ET21">
            <v>0</v>
          </cell>
          <cell r="EU21">
            <v>263263</v>
          </cell>
          <cell r="EV21">
            <v>250000</v>
          </cell>
          <cell r="EW21">
            <v>0</v>
          </cell>
          <cell r="EX21">
            <v>463262.99999999988</v>
          </cell>
          <cell r="EY21">
            <v>250000</v>
          </cell>
          <cell r="EZ21">
            <v>0</v>
          </cell>
          <cell r="FA21">
            <v>463262.99999999988</v>
          </cell>
          <cell r="FB21">
            <v>250000</v>
          </cell>
          <cell r="FC21">
            <v>567272.72727272718</v>
          </cell>
          <cell r="FD21">
            <v>463262.99999999988</v>
          </cell>
          <cell r="FE21">
            <v>250000</v>
          </cell>
          <cell r="FF21">
            <v>567272.72727272718</v>
          </cell>
          <cell r="FG21">
            <v>463262.99999999988</v>
          </cell>
          <cell r="FH21">
            <v>250000</v>
          </cell>
          <cell r="FI21">
            <v>567272.72727272718</v>
          </cell>
          <cell r="FJ21">
            <v>463262.99999999988</v>
          </cell>
          <cell r="FK21">
            <v>250000</v>
          </cell>
          <cell r="FL21">
            <v>567272.72727272718</v>
          </cell>
          <cell r="FM21">
            <v>463262.99999999988</v>
          </cell>
          <cell r="FN21">
            <v>250000</v>
          </cell>
          <cell r="FO21">
            <v>0</v>
          </cell>
          <cell r="FP21">
            <v>0</v>
          </cell>
          <cell r="FQ21">
            <v>0</v>
          </cell>
          <cell r="FR21">
            <v>0</v>
          </cell>
          <cell r="FS21">
            <v>0</v>
          </cell>
          <cell r="FT21">
            <v>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row>
        <row r="22">
          <cell r="BY22" t="str">
            <v>Reimburseable Costs</v>
          </cell>
          <cell r="BZ22">
            <v>55346.92</v>
          </cell>
          <cell r="CA22">
            <v>31337.68</v>
          </cell>
          <cell r="CB22">
            <v>18025.829999999998</v>
          </cell>
          <cell r="CC22">
            <v>20415.950000000004</v>
          </cell>
          <cell r="CD22">
            <v>30849.439999999999</v>
          </cell>
          <cell r="CE22">
            <v>30093.52</v>
          </cell>
          <cell r="CF22">
            <v>32557.279999999995</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t="str">
            <v>Reimburseable Costs</v>
          </cell>
          <cell r="EJ22">
            <v>54421.689291101058</v>
          </cell>
          <cell r="EK22">
            <v>29013.846153846127</v>
          </cell>
          <cell r="EL22">
            <v>26480</v>
          </cell>
          <cell r="EM22">
            <v>94400</v>
          </cell>
          <cell r="EN22">
            <v>13996.774193548386</v>
          </cell>
          <cell r="EO22">
            <v>44950</v>
          </cell>
          <cell r="EP22">
            <v>14350</v>
          </cell>
          <cell r="EQ22">
            <v>42850</v>
          </cell>
          <cell r="ER22">
            <v>32220</v>
          </cell>
          <cell r="ES22">
            <v>63150</v>
          </cell>
          <cell r="ET22">
            <v>11550</v>
          </cell>
          <cell r="EU22">
            <v>11256.521739130432</v>
          </cell>
          <cell r="EV22">
            <v>85317.561739130411</v>
          </cell>
          <cell r="EW22">
            <v>30356.521739130432</v>
          </cell>
          <cell r="EX22">
            <v>11256.521739130432</v>
          </cell>
          <cell r="EY22">
            <v>47417.561739130411</v>
          </cell>
          <cell r="EZ22">
            <v>30356.521739130432</v>
          </cell>
          <cell r="FA22">
            <v>10356.521739130432</v>
          </cell>
          <cell r="FB22">
            <v>48317.561739130411</v>
          </cell>
          <cell r="FC22">
            <v>30356.52173913049</v>
          </cell>
          <cell r="FD22">
            <v>55738.339920948609</v>
          </cell>
          <cell r="FE22">
            <v>47417.561739130411</v>
          </cell>
          <cell r="FF22">
            <v>31256.52173913049</v>
          </cell>
          <cell r="FG22">
            <v>55738.339920948609</v>
          </cell>
          <cell r="FH22">
            <v>106707.56173913041</v>
          </cell>
          <cell r="FI22">
            <v>30356.52173913049</v>
          </cell>
          <cell r="FJ22">
            <v>56638.339920948609</v>
          </cell>
          <cell r="FK22">
            <v>47417.561739130411</v>
          </cell>
          <cell r="FL22">
            <v>30356.52173913049</v>
          </cell>
          <cell r="FM22">
            <v>55738.339920948609</v>
          </cell>
          <cell r="FN22">
            <v>48317.561739130411</v>
          </cell>
          <cell r="FO22">
            <v>150078.74396135265</v>
          </cell>
          <cell r="FP22">
            <v>150078.74396135265</v>
          </cell>
          <cell r="FQ22">
            <v>150078.74396135265</v>
          </cell>
          <cell r="FR22">
            <v>150978.74396135265</v>
          </cell>
          <cell r="FS22">
            <v>150078.74396135265</v>
          </cell>
          <cell r="FT22">
            <v>215297.74396135268</v>
          </cell>
          <cell r="FU22">
            <v>150978.74396135265</v>
          </cell>
          <cell r="FV22">
            <v>150078.74396135265</v>
          </cell>
          <cell r="FW22">
            <v>150078.74396135265</v>
          </cell>
          <cell r="FX22">
            <v>150978.74396135265</v>
          </cell>
          <cell r="FY22">
            <v>150078.74396135265</v>
          </cell>
          <cell r="FZ22">
            <v>150078.74396135265</v>
          </cell>
          <cell r="GA22">
            <v>150978.74396135265</v>
          </cell>
          <cell r="GB22">
            <v>150078.74396135265</v>
          </cell>
          <cell r="GC22">
            <v>150978.74396135265</v>
          </cell>
          <cell r="GD22">
            <v>150078.74396135265</v>
          </cell>
          <cell r="GE22">
            <v>150978.74396135265</v>
          </cell>
          <cell r="GF22">
            <v>155917.20549981418</v>
          </cell>
          <cell r="GG22">
            <v>15467.628205128205</v>
          </cell>
          <cell r="GH22">
            <v>14567.628205128205</v>
          </cell>
          <cell r="GI22">
            <v>14567.628205128205</v>
          </cell>
          <cell r="GJ22">
            <v>15467.628205128205</v>
          </cell>
          <cell r="GK22">
            <v>14567.628205128205</v>
          </cell>
          <cell r="GL22">
            <v>14567.628205128205</v>
          </cell>
          <cell r="GM22">
            <v>15467.628205128205</v>
          </cell>
          <cell r="GN22">
            <v>14567.628205128205</v>
          </cell>
          <cell r="GO22">
            <v>14567.628205128205</v>
          </cell>
          <cell r="GP22">
            <v>14567.628205128205</v>
          </cell>
          <cell r="GQ22">
            <v>15467.628205128205</v>
          </cell>
          <cell r="GR22">
            <v>13467.628205128205</v>
          </cell>
        </row>
        <row r="23">
          <cell r="BY23" t="str">
            <v>Non-Reimburseables</v>
          </cell>
          <cell r="BZ23">
            <v>0</v>
          </cell>
          <cell r="CA23">
            <v>5126.4800000000005</v>
          </cell>
          <cell r="CB23">
            <v>105.56000000000017</v>
          </cell>
          <cell r="CC23">
            <v>534.20000000000005</v>
          </cell>
          <cell r="CD23">
            <v>2439.96</v>
          </cell>
          <cell r="CE23">
            <v>6078.15</v>
          </cell>
          <cell r="CF23">
            <v>13194.250000000002</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D23">
            <v>0</v>
          </cell>
          <cell r="EE23">
            <v>0</v>
          </cell>
          <cell r="EF23">
            <v>0</v>
          </cell>
          <cell r="EG23">
            <v>0</v>
          </cell>
          <cell r="EH23">
            <v>0</v>
          </cell>
          <cell r="EI23" t="str">
            <v>Non-Reimburseables</v>
          </cell>
          <cell r="EJ23">
            <v>525</v>
          </cell>
          <cell r="EK23">
            <v>4225</v>
          </cell>
          <cell r="EL23">
            <v>525</v>
          </cell>
          <cell r="EM23">
            <v>2200</v>
          </cell>
          <cell r="EN23">
            <v>0</v>
          </cell>
          <cell r="EO23">
            <v>15680</v>
          </cell>
          <cell r="EP23">
            <v>6075</v>
          </cell>
          <cell r="EQ23">
            <v>18325</v>
          </cell>
          <cell r="ER23">
            <v>7813.854166666667</v>
          </cell>
          <cell r="ES23">
            <v>488.85416666666669</v>
          </cell>
          <cell r="ET23">
            <v>488.85416666666669</v>
          </cell>
          <cell r="EU23">
            <v>688.85416666666663</v>
          </cell>
          <cell r="EV23">
            <v>688.85416666666663</v>
          </cell>
          <cell r="EW23">
            <v>688.85416666666663</v>
          </cell>
          <cell r="EX23">
            <v>688.85416666666663</v>
          </cell>
          <cell r="EY23">
            <v>688.85416666666663</v>
          </cell>
          <cell r="EZ23">
            <v>688.85416666666663</v>
          </cell>
          <cell r="FA23">
            <v>688.85416666666663</v>
          </cell>
          <cell r="FB23">
            <v>688.85416666666663</v>
          </cell>
          <cell r="FC23">
            <v>688.85416666666663</v>
          </cell>
          <cell r="FD23">
            <v>688.85416666666663</v>
          </cell>
          <cell r="FE23">
            <v>688.85416666666663</v>
          </cell>
          <cell r="FF23">
            <v>688.85416666666663</v>
          </cell>
          <cell r="FG23">
            <v>688.85416666666663</v>
          </cell>
          <cell r="FH23">
            <v>3188.8541666666665</v>
          </cell>
          <cell r="FI23">
            <v>688.85416666666663</v>
          </cell>
          <cell r="FJ23">
            <v>688.85416666666663</v>
          </cell>
          <cell r="FK23">
            <v>688.85416666666663</v>
          </cell>
          <cell r="FL23">
            <v>688.85416666666663</v>
          </cell>
          <cell r="FM23">
            <v>688.85416666666663</v>
          </cell>
          <cell r="FN23">
            <v>688.85416666666663</v>
          </cell>
          <cell r="FO23">
            <v>688.85416666666663</v>
          </cell>
          <cell r="FP23">
            <v>688.85416666666663</v>
          </cell>
          <cell r="FQ23">
            <v>688.85416666666663</v>
          </cell>
          <cell r="FR23">
            <v>688.85416666666663</v>
          </cell>
          <cell r="FS23">
            <v>688.85416666666663</v>
          </cell>
          <cell r="FT23">
            <v>3188.8541666666665</v>
          </cell>
          <cell r="FU23">
            <v>688.85416666666663</v>
          </cell>
          <cell r="FV23">
            <v>688.85416666666663</v>
          </cell>
          <cell r="FW23">
            <v>688.85416666666663</v>
          </cell>
          <cell r="FX23">
            <v>688.85416666666663</v>
          </cell>
          <cell r="FY23">
            <v>688.85416666666663</v>
          </cell>
          <cell r="FZ23">
            <v>688.85416666666663</v>
          </cell>
          <cell r="GA23">
            <v>688.85416666666663</v>
          </cell>
          <cell r="GB23">
            <v>688.85416666666663</v>
          </cell>
          <cell r="GC23">
            <v>688.85416666666663</v>
          </cell>
          <cell r="GD23">
            <v>688.85416666666663</v>
          </cell>
          <cell r="GE23">
            <v>688.85416666666663</v>
          </cell>
          <cell r="GF23">
            <v>3188.8541666666665</v>
          </cell>
          <cell r="GG23">
            <v>688.91666666666663</v>
          </cell>
          <cell r="GH23">
            <v>688.91666666666663</v>
          </cell>
          <cell r="GI23">
            <v>688.91666666666663</v>
          </cell>
          <cell r="GJ23">
            <v>688.91666666666663</v>
          </cell>
          <cell r="GK23">
            <v>688.91666666666663</v>
          </cell>
          <cell r="GL23">
            <v>688.91666666666663</v>
          </cell>
          <cell r="GM23">
            <v>688.91666666666663</v>
          </cell>
          <cell r="GN23">
            <v>688.91666666666663</v>
          </cell>
          <cell r="GO23">
            <v>688.91666666666663</v>
          </cell>
          <cell r="GP23">
            <v>688.91666666666663</v>
          </cell>
          <cell r="GQ23">
            <v>688.91666666666663</v>
          </cell>
          <cell r="GR23">
            <v>3188.9166666666665</v>
          </cell>
        </row>
        <row r="27">
          <cell r="BY27">
            <v>0</v>
          </cell>
        </row>
        <row r="28">
          <cell r="BY28">
            <v>0</v>
          </cell>
        </row>
        <row r="29">
          <cell r="BY29" t="str">
            <v>Allocated Staff Expenses</v>
          </cell>
          <cell r="BZ29">
            <v>5833.24</v>
          </cell>
          <cell r="CA29">
            <v>3282.14</v>
          </cell>
          <cell r="CB29">
            <v>5974.8899999999994</v>
          </cell>
          <cell r="CC29">
            <v>0</v>
          </cell>
          <cell r="CD29">
            <v>0</v>
          </cell>
          <cell r="CE29">
            <v>0</v>
          </cell>
          <cell r="CF29">
            <v>0</v>
          </cell>
          <cell r="CG29">
            <v>0</v>
          </cell>
          <cell r="CH29" t="e">
            <v>#VALUE!</v>
          </cell>
          <cell r="CI29" t="e">
            <v>#VALUE!</v>
          </cell>
          <cell r="CJ29" t="e">
            <v>#VALUE!</v>
          </cell>
          <cell r="CK29" t="e">
            <v>#VALUE!</v>
          </cell>
          <cell r="CL29" t="e">
            <v>#VALUE!</v>
          </cell>
          <cell r="CM29" t="e">
            <v>#VALUE!</v>
          </cell>
          <cell r="CN29" t="e">
            <v>#VALUE!</v>
          </cell>
          <cell r="CO29" t="e">
            <v>#VALUE!</v>
          </cell>
          <cell r="CP29" t="e">
            <v>#VALUE!</v>
          </cell>
          <cell r="CQ29" t="e">
            <v>#VALUE!</v>
          </cell>
          <cell r="CR29" t="e">
            <v>#VALUE!</v>
          </cell>
          <cell r="CS29" t="e">
            <v>#VALUE!</v>
          </cell>
          <cell r="CT29" t="e">
            <v>#VALUE!</v>
          </cell>
          <cell r="CU29" t="e">
            <v>#VALUE!</v>
          </cell>
          <cell r="CV29" t="e">
            <v>#VALUE!</v>
          </cell>
          <cell r="CW29" t="e">
            <v>#VALUE!</v>
          </cell>
          <cell r="CX29" t="e">
            <v>#VALUE!</v>
          </cell>
          <cell r="CY29" t="e">
            <v>#VALUE!</v>
          </cell>
          <cell r="CZ29" t="e">
            <v>#VALUE!</v>
          </cell>
          <cell r="DA29" t="e">
            <v>#VALUE!</v>
          </cell>
          <cell r="DB29" t="e">
            <v>#VALUE!</v>
          </cell>
          <cell r="DC29" t="e">
            <v>#VALUE!</v>
          </cell>
          <cell r="DD29" t="e">
            <v>#VALUE!</v>
          </cell>
          <cell r="DE29" t="e">
            <v>#VALUE!</v>
          </cell>
          <cell r="DF29" t="e">
            <v>#VALUE!</v>
          </cell>
          <cell r="DG29" t="e">
            <v>#VALUE!</v>
          </cell>
          <cell r="DH29" t="e">
            <v>#VALUE!</v>
          </cell>
          <cell r="DI29" t="e">
            <v>#VALUE!</v>
          </cell>
          <cell r="DJ29" t="e">
            <v>#VALUE!</v>
          </cell>
          <cell r="DK29" t="e">
            <v>#VALUE!</v>
          </cell>
          <cell r="DL29" t="e">
            <v>#VALUE!</v>
          </cell>
          <cell r="DM29" t="e">
            <v>#VALUE!</v>
          </cell>
          <cell r="DN29" t="e">
            <v>#VALUE!</v>
          </cell>
          <cell r="DO29" t="e">
            <v>#VALUE!</v>
          </cell>
          <cell r="DP29" t="e">
            <v>#VALUE!</v>
          </cell>
          <cell r="DQ29" t="e">
            <v>#VALUE!</v>
          </cell>
          <cell r="DR29" t="e">
            <v>#VALUE!</v>
          </cell>
          <cell r="DS29" t="e">
            <v>#VALUE!</v>
          </cell>
          <cell r="DT29" t="e">
            <v>#VALUE!</v>
          </cell>
          <cell r="DU29" t="e">
            <v>#VALUE!</v>
          </cell>
          <cell r="DV29" t="e">
            <v>#VALUE!</v>
          </cell>
          <cell r="DW29">
            <v>0</v>
          </cell>
          <cell r="DX29">
            <v>0</v>
          </cell>
          <cell r="DY29">
            <v>0</v>
          </cell>
          <cell r="DZ29">
            <v>0</v>
          </cell>
          <cell r="EA29">
            <v>0</v>
          </cell>
          <cell r="EB29">
            <v>0</v>
          </cell>
          <cell r="EC29">
            <v>0</v>
          </cell>
          <cell r="ED29">
            <v>0</v>
          </cell>
          <cell r="EE29">
            <v>0</v>
          </cell>
          <cell r="EF29">
            <v>0</v>
          </cell>
          <cell r="EG29">
            <v>0</v>
          </cell>
          <cell r="EH29">
            <v>0</v>
          </cell>
          <cell r="EI29" t="str">
            <v>Allocated Staff Expenses</v>
          </cell>
          <cell r="EJ29">
            <v>2900</v>
          </cell>
          <cell r="EK29">
            <v>5525</v>
          </cell>
          <cell r="EL29">
            <v>8850</v>
          </cell>
          <cell r="EM29">
            <v>3375</v>
          </cell>
          <cell r="EN29">
            <v>8325</v>
          </cell>
          <cell r="EO29">
            <v>9890</v>
          </cell>
          <cell r="EP29">
            <v>23955</v>
          </cell>
          <cell r="EQ29">
            <v>17755</v>
          </cell>
          <cell r="ER29">
            <v>18447.55</v>
          </cell>
          <cell r="ES29">
            <v>2449.608695652174</v>
          </cell>
          <cell r="ET29">
            <v>2449.608695652174</v>
          </cell>
          <cell r="EU29">
            <v>2449.608695652174</v>
          </cell>
          <cell r="EV29">
            <v>2449.608695652174</v>
          </cell>
          <cell r="EW29">
            <v>2449.608695652174</v>
          </cell>
          <cell r="EX29">
            <v>2449.608695652174</v>
          </cell>
          <cell r="EY29">
            <v>2449.608695652174</v>
          </cell>
          <cell r="EZ29">
            <v>2449.608695652174</v>
          </cell>
          <cell r="FA29">
            <v>2449.608695652174</v>
          </cell>
          <cell r="FB29">
            <v>2449.608695652174</v>
          </cell>
          <cell r="FC29">
            <v>2449.608695652174</v>
          </cell>
          <cell r="FD29">
            <v>2449.608695652174</v>
          </cell>
          <cell r="FE29">
            <v>2449.608695652174</v>
          </cell>
          <cell r="FF29">
            <v>2449.608695652174</v>
          </cell>
          <cell r="FG29">
            <v>2449.608695652174</v>
          </cell>
          <cell r="FH29">
            <v>2449.608695652174</v>
          </cell>
          <cell r="FI29">
            <v>2449.608695652174</v>
          </cell>
          <cell r="FJ29">
            <v>2449.608695652174</v>
          </cell>
          <cell r="FK29">
            <v>2449.608695652174</v>
          </cell>
          <cell r="FL29">
            <v>2449.608695652174</v>
          </cell>
          <cell r="FM29">
            <v>2449.608695652174</v>
          </cell>
          <cell r="FN29">
            <v>2449.608695652174</v>
          </cell>
          <cell r="FO29">
            <v>2449.608695652174</v>
          </cell>
          <cell r="FP29">
            <v>2449.608695652174</v>
          </cell>
          <cell r="FQ29">
            <v>2449.608695652174</v>
          </cell>
          <cell r="FR29">
            <v>2449.608695652174</v>
          </cell>
          <cell r="FS29">
            <v>2449.608695652174</v>
          </cell>
          <cell r="FT29">
            <v>2449.608695652174</v>
          </cell>
          <cell r="FU29">
            <v>2449.608695652174</v>
          </cell>
          <cell r="FV29">
            <v>2449.608695652174</v>
          </cell>
          <cell r="FW29">
            <v>2449.608695652174</v>
          </cell>
          <cell r="FX29">
            <v>2449.608695652174</v>
          </cell>
          <cell r="FY29">
            <v>2449.608695652174</v>
          </cell>
          <cell r="FZ29">
            <v>2449.608695652174</v>
          </cell>
          <cell r="GA29">
            <v>2449.608695652174</v>
          </cell>
          <cell r="GB29">
            <v>2449.608695652174</v>
          </cell>
          <cell r="GC29">
            <v>2449.608695652174</v>
          </cell>
          <cell r="GD29">
            <v>2449.608695652174</v>
          </cell>
          <cell r="GE29">
            <v>2449.608695652174</v>
          </cell>
          <cell r="GF29">
            <v>4414.9202331137121</v>
          </cell>
          <cell r="GG29">
            <v>1965.3115374615384</v>
          </cell>
          <cell r="GH29">
            <v>1965.3115374615384</v>
          </cell>
          <cell r="GI29">
            <v>1965.3115374615384</v>
          </cell>
          <cell r="GJ29">
            <v>1965.3115374615384</v>
          </cell>
          <cell r="GK29">
            <v>1965.3115374615384</v>
          </cell>
          <cell r="GL29">
            <v>1965.3115374615384</v>
          </cell>
          <cell r="GM29">
            <v>1965.3115374615384</v>
          </cell>
          <cell r="GN29">
            <v>1965.3115374615384</v>
          </cell>
          <cell r="GO29">
            <v>1965.3115374615384</v>
          </cell>
          <cell r="GP29">
            <v>1965.3115374615384</v>
          </cell>
          <cell r="GQ29">
            <v>1965.3115374615384</v>
          </cell>
          <cell r="GR29">
            <v>1965.3115374615384</v>
          </cell>
        </row>
        <row r="30">
          <cell r="BY30">
            <v>0</v>
          </cell>
        </row>
        <row r="37">
          <cell r="BZ37" t="str">
            <v>Actual</v>
          </cell>
          <cell r="CA37" t="str">
            <v>Actual</v>
          </cell>
          <cell r="CB37" t="str">
            <v>Actual</v>
          </cell>
          <cell r="CC37" t="str">
            <v>Actual</v>
          </cell>
          <cell r="CD37" t="str">
            <v>Actual</v>
          </cell>
          <cell r="CE37" t="str">
            <v>Actual</v>
          </cell>
          <cell r="CF37" t="str">
            <v>Actual</v>
          </cell>
          <cell r="CG37" t="str">
            <v>Actual</v>
          </cell>
          <cell r="CH37" t="str">
            <v>Actual</v>
          </cell>
          <cell r="EJ37" t="str">
            <v>Forecast</v>
          </cell>
          <cell r="EK37" t="str">
            <v>Forecast</v>
          </cell>
          <cell r="EL37" t="str">
            <v>Forecast</v>
          </cell>
          <cell r="EM37" t="str">
            <v>Forecast</v>
          </cell>
          <cell r="EN37" t="str">
            <v>Forecast</v>
          </cell>
          <cell r="EO37" t="str">
            <v>Forecast</v>
          </cell>
          <cell r="EP37" t="str">
            <v>Forecast</v>
          </cell>
          <cell r="EQ37" t="str">
            <v>Forecast</v>
          </cell>
          <cell r="ER37" t="str">
            <v>Forecast</v>
          </cell>
        </row>
        <row r="39">
          <cell r="BY39">
            <v>0</v>
          </cell>
          <cell r="BZ39">
            <v>41518</v>
          </cell>
          <cell r="CA39">
            <v>41548</v>
          </cell>
          <cell r="CB39">
            <v>41579</v>
          </cell>
          <cell r="CC39">
            <v>41609</v>
          </cell>
          <cell r="CD39">
            <v>41640</v>
          </cell>
          <cell r="CE39">
            <v>41671</v>
          </cell>
          <cell r="CF39">
            <v>41699</v>
          </cell>
          <cell r="CG39">
            <v>41730</v>
          </cell>
          <cell r="CH39">
            <v>41768</v>
          </cell>
          <cell r="EJ39">
            <v>41518</v>
          </cell>
          <cell r="EK39">
            <v>41548</v>
          </cell>
          <cell r="EL39">
            <v>41579</v>
          </cell>
          <cell r="EM39">
            <v>41609</v>
          </cell>
          <cell r="EN39">
            <v>41640</v>
          </cell>
          <cell r="EO39">
            <v>41671</v>
          </cell>
          <cell r="EP39">
            <v>41699</v>
          </cell>
          <cell r="EQ39">
            <v>41730</v>
          </cell>
          <cell r="ER39">
            <v>41768</v>
          </cell>
        </row>
        <row r="40">
          <cell r="BY40">
            <v>0</v>
          </cell>
          <cell r="EI40">
            <v>0</v>
          </cell>
        </row>
        <row r="41">
          <cell r="BY41" t="str">
            <v>Personnel Fees</v>
          </cell>
          <cell r="BZ41">
            <v>7090</v>
          </cell>
          <cell r="CA41">
            <v>21077.5</v>
          </cell>
          <cell r="CB41">
            <v>32063.75</v>
          </cell>
          <cell r="CC41">
            <v>36006.25</v>
          </cell>
          <cell r="CD41">
            <v>25247.25</v>
          </cell>
          <cell r="CE41">
            <v>45683</v>
          </cell>
          <cell r="CF41">
            <v>33463.625</v>
          </cell>
          <cell r="CG41">
            <v>0</v>
          </cell>
          <cell r="CH41">
            <v>0</v>
          </cell>
          <cell r="EI41" t="str">
            <v>Personnel Fees</v>
          </cell>
          <cell r="EJ41">
            <v>6090</v>
          </cell>
          <cell r="EK41">
            <v>13615</v>
          </cell>
          <cell r="EL41">
            <v>27725</v>
          </cell>
          <cell r="EM41">
            <v>30320</v>
          </cell>
          <cell r="EN41">
            <v>23247.5</v>
          </cell>
          <cell r="EO41">
            <v>25320.5</v>
          </cell>
          <cell r="EP41">
            <v>50834.5</v>
          </cell>
          <cell r="EQ41">
            <v>0</v>
          </cell>
          <cell r="ER41">
            <v>0</v>
          </cell>
        </row>
        <row r="42">
          <cell r="BY42" t="str">
            <v>Milestones</v>
          </cell>
          <cell r="BZ42">
            <v>24766</v>
          </cell>
          <cell r="CA42">
            <v>-24766</v>
          </cell>
          <cell r="CB42">
            <v>0</v>
          </cell>
          <cell r="CC42">
            <v>0</v>
          </cell>
          <cell r="CD42">
            <v>0</v>
          </cell>
          <cell r="CE42">
            <v>0</v>
          </cell>
          <cell r="CF42">
            <v>0</v>
          </cell>
          <cell r="CG42">
            <v>0</v>
          </cell>
          <cell r="CH42">
            <v>0</v>
          </cell>
          <cell r="EI42" t="str">
            <v>Milestones</v>
          </cell>
          <cell r="EJ42">
            <v>24766</v>
          </cell>
          <cell r="EK42">
            <v>0</v>
          </cell>
          <cell r="EL42">
            <v>0</v>
          </cell>
          <cell r="EM42">
            <v>0</v>
          </cell>
          <cell r="EN42">
            <v>0</v>
          </cell>
          <cell r="EO42">
            <v>0</v>
          </cell>
          <cell r="EP42">
            <v>0</v>
          </cell>
          <cell r="EQ42">
            <v>0</v>
          </cell>
          <cell r="ER42">
            <v>157766</v>
          </cell>
        </row>
        <row r="43">
          <cell r="BY43" t="str">
            <v>Grants</v>
          </cell>
          <cell r="BZ43">
            <v>0</v>
          </cell>
          <cell r="CA43">
            <v>0</v>
          </cell>
          <cell r="CB43">
            <v>0</v>
          </cell>
          <cell r="CC43">
            <v>0</v>
          </cell>
          <cell r="CD43">
            <v>0</v>
          </cell>
          <cell r="CE43">
            <v>0</v>
          </cell>
          <cell r="CF43">
            <v>0</v>
          </cell>
          <cell r="CG43">
            <v>0</v>
          </cell>
          <cell r="CH43">
            <v>0</v>
          </cell>
          <cell r="EI43" t="str">
            <v>Grants</v>
          </cell>
          <cell r="EJ43">
            <v>0</v>
          </cell>
          <cell r="EK43">
            <v>500000</v>
          </cell>
          <cell r="EL43">
            <v>0</v>
          </cell>
          <cell r="EM43">
            <v>375000</v>
          </cell>
          <cell r="EN43">
            <v>0</v>
          </cell>
          <cell r="EO43">
            <v>0</v>
          </cell>
          <cell r="EP43">
            <v>0</v>
          </cell>
          <cell r="EQ43">
            <v>0</v>
          </cell>
          <cell r="ER43">
            <v>0</v>
          </cell>
        </row>
        <row r="44">
          <cell r="BY44" t="str">
            <v>Reimburseables</v>
          </cell>
          <cell r="BZ44">
            <v>55346.92</v>
          </cell>
          <cell r="CA44">
            <v>31337.68</v>
          </cell>
          <cell r="CB44">
            <v>18025.829999999998</v>
          </cell>
          <cell r="CC44">
            <v>20415.950000000004</v>
          </cell>
          <cell r="CD44">
            <v>30849.439999999999</v>
          </cell>
          <cell r="CE44">
            <v>33125.25</v>
          </cell>
          <cell r="CF44">
            <v>32557.279999999995</v>
          </cell>
          <cell r="CG44">
            <v>0</v>
          </cell>
          <cell r="CH44">
            <v>0</v>
          </cell>
          <cell r="EI44" t="str">
            <v>Reimburseables</v>
          </cell>
          <cell r="EJ44">
            <v>54421.689291101058</v>
          </cell>
          <cell r="EK44">
            <v>29013.846153846127</v>
          </cell>
          <cell r="EL44">
            <v>28230</v>
          </cell>
          <cell r="EM44">
            <v>104900</v>
          </cell>
          <cell r="EN44">
            <v>13996.774193548386</v>
          </cell>
          <cell r="EO44">
            <v>49325</v>
          </cell>
          <cell r="EP44">
            <v>15050</v>
          </cell>
          <cell r="EQ44">
            <v>0</v>
          </cell>
          <cell r="ER44">
            <v>0</v>
          </cell>
        </row>
        <row r="45">
          <cell r="BY45">
            <v>0</v>
          </cell>
          <cell r="EI45">
            <v>0</v>
          </cell>
        </row>
        <row r="46">
          <cell r="BY46">
            <v>0</v>
          </cell>
          <cell r="EI46">
            <v>0</v>
          </cell>
        </row>
        <row r="47">
          <cell r="BY47">
            <v>0</v>
          </cell>
          <cell r="EI47">
            <v>0</v>
          </cell>
        </row>
        <row r="48">
          <cell r="BY48">
            <v>0</v>
          </cell>
          <cell r="EI48">
            <v>0</v>
          </cell>
        </row>
        <row r="49">
          <cell r="BY49">
            <v>0</v>
          </cell>
          <cell r="EI49">
            <v>0</v>
          </cell>
        </row>
        <row r="50">
          <cell r="BY50" t="str">
            <v>Personnel Expenses</v>
          </cell>
          <cell r="BZ50">
            <v>0</v>
          </cell>
          <cell r="CA50">
            <v>2394.61</v>
          </cell>
          <cell r="CB50">
            <v>38036.83</v>
          </cell>
          <cell r="CC50">
            <v>14728.45</v>
          </cell>
          <cell r="CD50">
            <v>30011.33</v>
          </cell>
          <cell r="CE50">
            <v>68710.709999999992</v>
          </cell>
          <cell r="CF50">
            <v>10652.470000000001</v>
          </cell>
          <cell r="CG50">
            <v>0</v>
          </cell>
          <cell r="CH50">
            <v>0</v>
          </cell>
          <cell r="EI50" t="str">
            <v>Personnel Expenses</v>
          </cell>
          <cell r="EJ50">
            <v>4137.6000000000004</v>
          </cell>
          <cell r="EK50">
            <v>10845.6</v>
          </cell>
          <cell r="EL50">
            <v>25733.199999999997</v>
          </cell>
          <cell r="EM50">
            <v>42469</v>
          </cell>
          <cell r="EN50">
            <v>19169.599999999999</v>
          </cell>
          <cell r="EO50">
            <v>26348</v>
          </cell>
          <cell r="EP50">
            <v>88425.453375099998</v>
          </cell>
          <cell r="EQ50">
            <v>57798.688100240004</v>
          </cell>
          <cell r="ER50">
            <v>15507.8</v>
          </cell>
        </row>
        <row r="51">
          <cell r="BY51" t="str">
            <v>Grant Expense</v>
          </cell>
          <cell r="BZ51">
            <v>0</v>
          </cell>
          <cell r="CA51">
            <v>0</v>
          </cell>
          <cell r="CB51">
            <v>0</v>
          </cell>
          <cell r="CC51">
            <v>0</v>
          </cell>
          <cell r="CD51">
            <v>0</v>
          </cell>
          <cell r="CE51">
            <v>0</v>
          </cell>
          <cell r="CF51">
            <v>0</v>
          </cell>
          <cell r="CG51">
            <v>0</v>
          </cell>
          <cell r="CH51">
            <v>0</v>
          </cell>
          <cell r="EI51" t="str">
            <v>Grant Expense</v>
          </cell>
          <cell r="EJ51">
            <v>0</v>
          </cell>
          <cell r="EK51">
            <v>500000</v>
          </cell>
          <cell r="EL51">
            <v>0</v>
          </cell>
          <cell r="EM51">
            <v>375000</v>
          </cell>
          <cell r="EN51">
            <v>0</v>
          </cell>
          <cell r="EO51">
            <v>0</v>
          </cell>
          <cell r="EP51">
            <v>0</v>
          </cell>
          <cell r="EQ51">
            <v>0</v>
          </cell>
          <cell r="ER51">
            <v>0</v>
          </cell>
        </row>
        <row r="52">
          <cell r="BY52" t="str">
            <v>Reimburseable Costs</v>
          </cell>
          <cell r="BZ52">
            <v>55346.92</v>
          </cell>
          <cell r="CA52">
            <v>31337.68</v>
          </cell>
          <cell r="CB52">
            <v>18025.829999999998</v>
          </cell>
          <cell r="CC52">
            <v>20415.950000000004</v>
          </cell>
          <cell r="CD52">
            <v>30849.439999999999</v>
          </cell>
          <cell r="CE52">
            <v>30093.52</v>
          </cell>
          <cell r="CF52">
            <v>32557.279999999995</v>
          </cell>
          <cell r="CG52">
            <v>0</v>
          </cell>
          <cell r="CH52">
            <v>0</v>
          </cell>
          <cell r="EI52" t="str">
            <v>Reimburseable Costs</v>
          </cell>
          <cell r="EJ52">
            <v>54421.689291101058</v>
          </cell>
          <cell r="EK52">
            <v>29013.846153846127</v>
          </cell>
          <cell r="EL52">
            <v>26480</v>
          </cell>
          <cell r="EM52">
            <v>94400</v>
          </cell>
          <cell r="EN52">
            <v>13996.774193548386</v>
          </cell>
          <cell r="EO52">
            <v>44950</v>
          </cell>
          <cell r="EP52">
            <v>14350</v>
          </cell>
          <cell r="EQ52">
            <v>42850</v>
          </cell>
          <cell r="ER52">
            <v>2720</v>
          </cell>
        </row>
        <row r="53">
          <cell r="BY53" t="str">
            <v>Non-Reimburseables</v>
          </cell>
          <cell r="BZ53">
            <v>0</v>
          </cell>
          <cell r="CA53">
            <v>5126.4800000000005</v>
          </cell>
          <cell r="CB53">
            <v>105.56000000000017</v>
          </cell>
          <cell r="CC53">
            <v>534.20000000000005</v>
          </cell>
          <cell r="CD53">
            <v>2439.96</v>
          </cell>
          <cell r="CE53">
            <v>6078.15</v>
          </cell>
          <cell r="CF53">
            <v>13194.250000000002</v>
          </cell>
          <cell r="CG53">
            <v>0</v>
          </cell>
          <cell r="CH53">
            <v>0</v>
          </cell>
          <cell r="EI53" t="str">
            <v>Non-Reimburseables</v>
          </cell>
          <cell r="EJ53">
            <v>525</v>
          </cell>
          <cell r="EK53">
            <v>4225</v>
          </cell>
          <cell r="EL53">
            <v>525</v>
          </cell>
          <cell r="EM53">
            <v>2200</v>
          </cell>
          <cell r="EN53">
            <v>0</v>
          </cell>
          <cell r="EO53">
            <v>15680</v>
          </cell>
          <cell r="EP53">
            <v>6075</v>
          </cell>
          <cell r="EQ53">
            <v>18325</v>
          </cell>
          <cell r="ER53">
            <v>7325</v>
          </cell>
        </row>
        <row r="54">
          <cell r="BY54">
            <v>0</v>
          </cell>
          <cell r="EI54">
            <v>0</v>
          </cell>
        </row>
        <row r="55">
          <cell r="BY55">
            <v>0</v>
          </cell>
          <cell r="EI55">
            <v>0</v>
          </cell>
        </row>
        <row r="56">
          <cell r="BY56">
            <v>0</v>
          </cell>
          <cell r="EI56">
            <v>0</v>
          </cell>
        </row>
        <row r="57">
          <cell r="BY57">
            <v>0</v>
          </cell>
          <cell r="EI57">
            <v>0</v>
          </cell>
        </row>
        <row r="58">
          <cell r="BY58">
            <v>0</v>
          </cell>
          <cell r="EI58">
            <v>0</v>
          </cell>
        </row>
        <row r="59">
          <cell r="BY59" t="str">
            <v>Allocated Staff Expenses</v>
          </cell>
          <cell r="BZ59">
            <v>5833.24</v>
          </cell>
          <cell r="CA59">
            <v>3282.14</v>
          </cell>
          <cell r="CB59">
            <v>5974.8899999999994</v>
          </cell>
          <cell r="CC59">
            <v>0</v>
          </cell>
          <cell r="CD59">
            <v>0</v>
          </cell>
          <cell r="CE59">
            <v>0</v>
          </cell>
          <cell r="CF59">
            <v>0</v>
          </cell>
          <cell r="CG59">
            <v>0</v>
          </cell>
          <cell r="CH59">
            <v>0</v>
          </cell>
          <cell r="EI59" t="str">
            <v>Allocated Staff Expenses</v>
          </cell>
          <cell r="EJ59">
            <v>2900</v>
          </cell>
          <cell r="EK59">
            <v>5525</v>
          </cell>
          <cell r="EL59">
            <v>8850</v>
          </cell>
          <cell r="EM59">
            <v>3375</v>
          </cell>
          <cell r="EN59">
            <v>8325</v>
          </cell>
          <cell r="EO59">
            <v>9890</v>
          </cell>
          <cell r="EP59">
            <v>23955</v>
          </cell>
          <cell r="EQ59">
            <v>17755</v>
          </cell>
          <cell r="ER59">
            <v>8575</v>
          </cell>
        </row>
        <row r="60">
          <cell r="BY60">
            <v>0</v>
          </cell>
          <cell r="EI60">
            <v>0</v>
          </cell>
        </row>
        <row r="63">
          <cell r="CH63" t="str">
            <v>Actual</v>
          </cell>
          <cell r="CI63" t="str">
            <v>Actual</v>
          </cell>
          <cell r="CJ63" t="str">
            <v>Actual</v>
          </cell>
          <cell r="CK63" t="str">
            <v>Actual</v>
          </cell>
          <cell r="CL63" t="str">
            <v>Actual</v>
          </cell>
          <cell r="CM63" t="str">
            <v>Actual</v>
          </cell>
          <cell r="CN63" t="str">
            <v>Actual</v>
          </cell>
          <cell r="CO63" t="str">
            <v>Actual</v>
          </cell>
          <cell r="CP63" t="str">
            <v>Actual</v>
          </cell>
          <cell r="CQ63" t="str">
            <v>Actual</v>
          </cell>
          <cell r="CR63" t="str">
            <v>Actual</v>
          </cell>
          <cell r="CS63" t="str">
            <v>Actual</v>
          </cell>
          <cell r="CT63" t="str">
            <v>Actual</v>
          </cell>
          <cell r="CU63" t="str">
            <v>Actual</v>
          </cell>
          <cell r="CV63" t="str">
            <v>Actual</v>
          </cell>
          <cell r="CW63" t="str">
            <v>Actual</v>
          </cell>
          <cell r="CX63" t="str">
            <v>Actual</v>
          </cell>
          <cell r="CY63" t="str">
            <v>Actual</v>
          </cell>
          <cell r="CZ63" t="str">
            <v>Actual</v>
          </cell>
          <cell r="DA63" t="str">
            <v>Actual</v>
          </cell>
          <cell r="DB63" t="str">
            <v>Actual</v>
          </cell>
          <cell r="DC63" t="str">
            <v>Actual</v>
          </cell>
          <cell r="DD63" t="str">
            <v>Actual</v>
          </cell>
          <cell r="DE63" t="str">
            <v>Actual</v>
          </cell>
          <cell r="DF63" t="str">
            <v>Actual</v>
          </cell>
          <cell r="DG63" t="str">
            <v>Actual</v>
          </cell>
          <cell r="DH63" t="str">
            <v>Actual</v>
          </cell>
          <cell r="DI63" t="str">
            <v>Actual</v>
          </cell>
          <cell r="DJ63" t="str">
            <v>Actual</v>
          </cell>
          <cell r="DK63" t="str">
            <v>Actual</v>
          </cell>
          <cell r="DL63" t="str">
            <v>Actual</v>
          </cell>
          <cell r="DM63" t="str">
            <v>Actual</v>
          </cell>
          <cell r="DN63" t="str">
            <v>Actual</v>
          </cell>
          <cell r="DO63" t="str">
            <v>Actual</v>
          </cell>
          <cell r="DP63" t="str">
            <v>Actual</v>
          </cell>
          <cell r="DQ63" t="str">
            <v>Actual</v>
          </cell>
          <cell r="DR63" t="str">
            <v>Actual</v>
          </cell>
          <cell r="DS63" t="str">
            <v>Actual</v>
          </cell>
          <cell r="DT63" t="str">
            <v>Actual</v>
          </cell>
          <cell r="DU63" t="str">
            <v>Actual</v>
          </cell>
          <cell r="DV63" t="str">
            <v>Actual</v>
          </cell>
          <cell r="ER63" t="str">
            <v>Forecast</v>
          </cell>
          <cell r="ES63" t="str">
            <v>Forecast</v>
          </cell>
          <cell r="ET63" t="str">
            <v>Forecast</v>
          </cell>
          <cell r="EU63" t="str">
            <v>Forecast</v>
          </cell>
          <cell r="EV63" t="str">
            <v>Forecast</v>
          </cell>
          <cell r="EW63" t="str">
            <v>Forecast</v>
          </cell>
          <cell r="EX63" t="str">
            <v>Forecast</v>
          </cell>
          <cell r="EY63" t="str">
            <v>Forecast</v>
          </cell>
          <cell r="EZ63" t="str">
            <v>Forecast</v>
          </cell>
          <cell r="FA63" t="str">
            <v>Forecast</v>
          </cell>
          <cell r="FB63" t="str">
            <v>Forecast</v>
          </cell>
          <cell r="FC63" t="str">
            <v>Forecast</v>
          </cell>
          <cell r="FD63" t="str">
            <v>Forecast</v>
          </cell>
          <cell r="FE63" t="str">
            <v>Forecast</v>
          </cell>
          <cell r="FF63" t="str">
            <v>Forecast</v>
          </cell>
          <cell r="FG63" t="str">
            <v>Forecast</v>
          </cell>
          <cell r="FH63" t="str">
            <v>Forecast</v>
          </cell>
          <cell r="FI63" t="str">
            <v>Forecast</v>
          </cell>
          <cell r="FJ63" t="str">
            <v>Forecast</v>
          </cell>
          <cell r="FK63" t="str">
            <v>Forecast</v>
          </cell>
          <cell r="FL63" t="str">
            <v>Forecast</v>
          </cell>
          <cell r="FM63" t="str">
            <v>Forecast</v>
          </cell>
          <cell r="FN63" t="str">
            <v>Forecast</v>
          </cell>
          <cell r="FO63" t="str">
            <v>Forecast</v>
          </cell>
          <cell r="FP63" t="str">
            <v>Forecast</v>
          </cell>
          <cell r="FQ63" t="str">
            <v>Forecast</v>
          </cell>
          <cell r="FR63" t="str">
            <v>Forecast</v>
          </cell>
          <cell r="FS63" t="str">
            <v>Forecast</v>
          </cell>
          <cell r="FT63" t="str">
            <v>Forecast</v>
          </cell>
          <cell r="FU63" t="str">
            <v>Forecast</v>
          </cell>
          <cell r="FV63" t="str">
            <v>Forecast</v>
          </cell>
          <cell r="FW63" t="str">
            <v>Forecast</v>
          </cell>
          <cell r="FX63" t="str">
            <v>Forecast</v>
          </cell>
          <cell r="FY63" t="str">
            <v>Forecast</v>
          </cell>
          <cell r="FZ63" t="str">
            <v>Forecast</v>
          </cell>
          <cell r="GA63" t="str">
            <v>Forecast</v>
          </cell>
          <cell r="GB63" t="str">
            <v>Forecast</v>
          </cell>
          <cell r="GC63" t="str">
            <v>Forecast</v>
          </cell>
          <cell r="GD63" t="str">
            <v>Forecast</v>
          </cell>
          <cell r="GE63" t="str">
            <v>Forecast</v>
          </cell>
          <cell r="GF63" t="str">
            <v>Forecast</v>
          </cell>
        </row>
        <row r="65">
          <cell r="CH65">
            <v>41769</v>
          </cell>
          <cell r="CI65">
            <v>41791</v>
          </cell>
          <cell r="CJ65">
            <v>41821</v>
          </cell>
          <cell r="CK65">
            <v>41852</v>
          </cell>
          <cell r="CL65">
            <v>41883</v>
          </cell>
          <cell r="CM65">
            <v>41913</v>
          </cell>
          <cell r="CN65">
            <v>41944</v>
          </cell>
          <cell r="CO65">
            <v>41974</v>
          </cell>
          <cell r="CP65">
            <v>42005</v>
          </cell>
          <cell r="CQ65">
            <v>42036</v>
          </cell>
          <cell r="CR65">
            <v>42064</v>
          </cell>
          <cell r="CS65">
            <v>42095</v>
          </cell>
          <cell r="CT65">
            <v>42125</v>
          </cell>
          <cell r="CU65">
            <v>42156</v>
          </cell>
          <cell r="CV65">
            <v>42186</v>
          </cell>
          <cell r="CW65">
            <v>42217</v>
          </cell>
          <cell r="CX65">
            <v>42248</v>
          </cell>
          <cell r="CY65">
            <v>42278</v>
          </cell>
          <cell r="CZ65">
            <v>42309</v>
          </cell>
          <cell r="DA65">
            <v>42339</v>
          </cell>
          <cell r="DB65">
            <v>42370</v>
          </cell>
          <cell r="DC65">
            <v>42401</v>
          </cell>
          <cell r="DD65">
            <v>42430</v>
          </cell>
          <cell r="DE65">
            <v>42461</v>
          </cell>
          <cell r="DF65">
            <v>42491</v>
          </cell>
          <cell r="DG65">
            <v>42522</v>
          </cell>
          <cell r="DH65">
            <v>42552</v>
          </cell>
          <cell r="DI65">
            <v>42583</v>
          </cell>
          <cell r="DJ65">
            <v>42614</v>
          </cell>
          <cell r="DK65">
            <v>42644</v>
          </cell>
          <cell r="DL65">
            <v>42675</v>
          </cell>
          <cell r="DM65">
            <v>42705</v>
          </cell>
          <cell r="DN65">
            <v>42736</v>
          </cell>
          <cell r="DO65">
            <v>42767</v>
          </cell>
          <cell r="DP65">
            <v>42795</v>
          </cell>
          <cell r="DQ65">
            <v>42826</v>
          </cell>
          <cell r="DR65">
            <v>42856</v>
          </cell>
          <cell r="DS65">
            <v>42887</v>
          </cell>
          <cell r="DT65">
            <v>42917</v>
          </cell>
          <cell r="DU65">
            <v>42948</v>
          </cell>
          <cell r="DV65">
            <v>42979</v>
          </cell>
          <cell r="ER65">
            <v>41769</v>
          </cell>
          <cell r="ES65">
            <v>41791</v>
          </cell>
          <cell r="ET65">
            <v>41821</v>
          </cell>
          <cell r="EU65">
            <v>41852</v>
          </cell>
          <cell r="EV65">
            <v>41883</v>
          </cell>
          <cell r="EW65">
            <v>41913</v>
          </cell>
          <cell r="EX65">
            <v>41944</v>
          </cell>
          <cell r="EY65">
            <v>41974</v>
          </cell>
          <cell r="EZ65">
            <v>42005</v>
          </cell>
          <cell r="FA65">
            <v>42036</v>
          </cell>
          <cell r="FB65">
            <v>42064</v>
          </cell>
          <cell r="FC65">
            <v>42095</v>
          </cell>
          <cell r="FD65">
            <v>42125</v>
          </cell>
          <cell r="FE65">
            <v>42156</v>
          </cell>
          <cell r="FF65">
            <v>42186</v>
          </cell>
          <cell r="FG65">
            <v>42217</v>
          </cell>
          <cell r="FH65">
            <v>42248</v>
          </cell>
          <cell r="FI65">
            <v>42278</v>
          </cell>
          <cell r="FJ65">
            <v>42309</v>
          </cell>
          <cell r="FK65">
            <v>42339</v>
          </cell>
          <cell r="FL65">
            <v>42370</v>
          </cell>
          <cell r="FM65">
            <v>42401</v>
          </cell>
          <cell r="FN65">
            <v>42430</v>
          </cell>
          <cell r="FO65">
            <v>42461</v>
          </cell>
          <cell r="FP65">
            <v>42491</v>
          </cell>
          <cell r="FQ65">
            <v>42522</v>
          </cell>
          <cell r="FR65">
            <v>42552</v>
          </cell>
          <cell r="FS65">
            <v>42583</v>
          </cell>
          <cell r="FT65">
            <v>42614</v>
          </cell>
          <cell r="FU65">
            <v>42644</v>
          </cell>
          <cell r="FV65">
            <v>42675</v>
          </cell>
          <cell r="FW65">
            <v>42705</v>
          </cell>
          <cell r="FX65">
            <v>42736</v>
          </cell>
          <cell r="FY65">
            <v>42767</v>
          </cell>
          <cell r="FZ65">
            <v>42795</v>
          </cell>
          <cell r="GA65">
            <v>42826</v>
          </cell>
          <cell r="GB65">
            <v>42856</v>
          </cell>
          <cell r="GC65">
            <v>42887</v>
          </cell>
          <cell r="GD65">
            <v>42917</v>
          </cell>
          <cell r="GE65">
            <v>42948</v>
          </cell>
          <cell r="GF65">
            <v>42979</v>
          </cell>
        </row>
        <row r="67">
          <cell r="CG67" t="str">
            <v>Personnel Fees</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0</v>
          </cell>
          <cell r="DM67">
            <v>0</v>
          </cell>
          <cell r="DN67">
            <v>0</v>
          </cell>
          <cell r="DO67">
            <v>0</v>
          </cell>
          <cell r="DP67">
            <v>0</v>
          </cell>
          <cell r="DQ67">
            <v>0</v>
          </cell>
          <cell r="DR67">
            <v>0</v>
          </cell>
          <cell r="DS67">
            <v>0</v>
          </cell>
          <cell r="DT67">
            <v>0</v>
          </cell>
          <cell r="DU67">
            <v>0</v>
          </cell>
          <cell r="DV67">
            <v>0</v>
          </cell>
          <cell r="EQ67" t="str">
            <v>Personnel Fees</v>
          </cell>
          <cell r="ER67">
            <v>35301.5</v>
          </cell>
          <cell r="ES67">
            <v>30283</v>
          </cell>
          <cell r="ET67">
            <v>34324.369565217392</v>
          </cell>
          <cell r="EU67">
            <v>33334.369565217392</v>
          </cell>
          <cell r="EV67">
            <v>34324.369565217392</v>
          </cell>
          <cell r="EW67">
            <v>33334.369565217392</v>
          </cell>
          <cell r="EX67">
            <v>34324.369565217392</v>
          </cell>
          <cell r="EY67">
            <v>33334.369565217392</v>
          </cell>
          <cell r="EZ67">
            <v>34324.369565217392</v>
          </cell>
          <cell r="FA67">
            <v>33334.369565217392</v>
          </cell>
          <cell r="FB67">
            <v>33334.369565217392</v>
          </cell>
          <cell r="FC67">
            <v>33334.369565217392</v>
          </cell>
          <cell r="FD67">
            <v>33334.369565217392</v>
          </cell>
          <cell r="FE67">
            <v>36634.369565217392</v>
          </cell>
          <cell r="FF67">
            <v>33334.369565217392</v>
          </cell>
          <cell r="FG67">
            <v>33334.369565217392</v>
          </cell>
          <cell r="FH67">
            <v>33334.369565217392</v>
          </cell>
          <cell r="FI67">
            <v>33334.369565217392</v>
          </cell>
          <cell r="FJ67">
            <v>33334.369565217392</v>
          </cell>
          <cell r="FK67">
            <v>33334.369565217392</v>
          </cell>
          <cell r="FL67">
            <v>33334.369565217392</v>
          </cell>
          <cell r="FM67">
            <v>33334.369565217392</v>
          </cell>
          <cell r="FN67">
            <v>33334.369565217392</v>
          </cell>
          <cell r="FO67">
            <v>33334.369565217392</v>
          </cell>
          <cell r="FP67">
            <v>33334.369565217392</v>
          </cell>
          <cell r="FQ67">
            <v>36634.369565217392</v>
          </cell>
          <cell r="FR67">
            <v>33334.369565217392</v>
          </cell>
          <cell r="FS67">
            <v>33334.369565217392</v>
          </cell>
          <cell r="FT67">
            <v>33334.369565217392</v>
          </cell>
          <cell r="FU67">
            <v>33334.369565217392</v>
          </cell>
          <cell r="FV67">
            <v>34984.369565217392</v>
          </cell>
          <cell r="FW67">
            <v>33334.369565217392</v>
          </cell>
          <cell r="FX67">
            <v>33334.369565217392</v>
          </cell>
          <cell r="FY67">
            <v>33334.369565217392</v>
          </cell>
          <cell r="FZ67">
            <v>33334.369565217392</v>
          </cell>
          <cell r="GA67">
            <v>33334.369565217392</v>
          </cell>
          <cell r="GB67">
            <v>33334.369565217392</v>
          </cell>
          <cell r="GC67">
            <v>36634.369565217392</v>
          </cell>
          <cell r="GD67">
            <v>33334.369565217392</v>
          </cell>
          <cell r="GE67">
            <v>33334.369565217392</v>
          </cell>
          <cell r="GF67">
            <v>11599.369565217392</v>
          </cell>
        </row>
        <row r="68">
          <cell r="CG68" t="str">
            <v>Milestones</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0</v>
          </cell>
          <cell r="DQ68">
            <v>0</v>
          </cell>
          <cell r="DR68">
            <v>0</v>
          </cell>
          <cell r="DS68">
            <v>0</v>
          </cell>
          <cell r="DT68">
            <v>0</v>
          </cell>
          <cell r="DU68">
            <v>0</v>
          </cell>
          <cell r="DV68">
            <v>0</v>
          </cell>
          <cell r="EQ68" t="str">
            <v>Milestones</v>
          </cell>
          <cell r="ER68">
            <v>0</v>
          </cell>
          <cell r="ES68">
            <v>165000</v>
          </cell>
          <cell r="ET68">
            <v>0</v>
          </cell>
          <cell r="EU68">
            <v>0</v>
          </cell>
          <cell r="EV68">
            <v>187500</v>
          </cell>
          <cell r="EW68">
            <v>0</v>
          </cell>
          <cell r="EX68">
            <v>0</v>
          </cell>
          <cell r="EY68">
            <v>32500</v>
          </cell>
          <cell r="EZ68">
            <v>0</v>
          </cell>
          <cell r="FA68">
            <v>0</v>
          </cell>
          <cell r="FB68">
            <v>32500</v>
          </cell>
          <cell r="FC68">
            <v>0</v>
          </cell>
          <cell r="FD68">
            <v>200000</v>
          </cell>
          <cell r="FE68">
            <v>32500</v>
          </cell>
          <cell r="FF68">
            <v>0</v>
          </cell>
          <cell r="FG68">
            <v>0</v>
          </cell>
          <cell r="FH68">
            <v>187500</v>
          </cell>
          <cell r="FI68">
            <v>0</v>
          </cell>
          <cell r="FJ68">
            <v>0</v>
          </cell>
          <cell r="FK68">
            <v>32500</v>
          </cell>
          <cell r="FL68">
            <v>0</v>
          </cell>
          <cell r="FM68">
            <v>0</v>
          </cell>
          <cell r="FN68">
            <v>32500</v>
          </cell>
          <cell r="FO68">
            <v>0</v>
          </cell>
          <cell r="FP68">
            <v>0</v>
          </cell>
          <cell r="FQ68">
            <v>32500</v>
          </cell>
          <cell r="FR68">
            <v>0</v>
          </cell>
          <cell r="FS68">
            <v>0</v>
          </cell>
          <cell r="FT68">
            <v>187500</v>
          </cell>
          <cell r="FU68">
            <v>0</v>
          </cell>
          <cell r="FV68">
            <v>0</v>
          </cell>
          <cell r="FW68">
            <v>32500</v>
          </cell>
          <cell r="FX68">
            <v>0</v>
          </cell>
          <cell r="FY68">
            <v>0</v>
          </cell>
          <cell r="FZ68">
            <v>32500</v>
          </cell>
          <cell r="GA68">
            <v>0</v>
          </cell>
          <cell r="GB68">
            <v>0</v>
          </cell>
          <cell r="GC68">
            <v>32500</v>
          </cell>
          <cell r="GD68">
            <v>0</v>
          </cell>
          <cell r="GE68">
            <v>0</v>
          </cell>
          <cell r="GF68">
            <v>252500</v>
          </cell>
        </row>
        <row r="69">
          <cell r="CG69" t="str">
            <v>Grants</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cell r="DV69">
            <v>0</v>
          </cell>
          <cell r="EQ69" t="str">
            <v>Grants</v>
          </cell>
          <cell r="ER69">
            <v>270000</v>
          </cell>
          <cell r="ES69">
            <v>0</v>
          </cell>
          <cell r="ET69">
            <v>0</v>
          </cell>
          <cell r="EU69">
            <v>263263</v>
          </cell>
          <cell r="EV69">
            <v>250000</v>
          </cell>
          <cell r="EW69">
            <v>0</v>
          </cell>
          <cell r="EX69">
            <v>463262.99999999988</v>
          </cell>
          <cell r="EY69">
            <v>250000</v>
          </cell>
          <cell r="EZ69">
            <v>0</v>
          </cell>
          <cell r="FA69">
            <v>463262.99999999988</v>
          </cell>
          <cell r="FB69">
            <v>250000</v>
          </cell>
          <cell r="FC69">
            <v>567272.72727272718</v>
          </cell>
          <cell r="FD69">
            <v>463262.99999999988</v>
          </cell>
          <cell r="FE69">
            <v>250000</v>
          </cell>
          <cell r="FF69">
            <v>567272.72727272718</v>
          </cell>
          <cell r="FG69">
            <v>463262.99999999988</v>
          </cell>
          <cell r="FH69">
            <v>250000</v>
          </cell>
          <cell r="FI69">
            <v>567272.72727272718</v>
          </cell>
          <cell r="FJ69">
            <v>463262.99999999988</v>
          </cell>
          <cell r="FK69">
            <v>250000</v>
          </cell>
          <cell r="FL69">
            <v>567272.72727272718</v>
          </cell>
          <cell r="FM69">
            <v>463262.99999999988</v>
          </cell>
          <cell r="FN69">
            <v>250000</v>
          </cell>
          <cell r="FO69">
            <v>0</v>
          </cell>
          <cell r="FP69">
            <v>0</v>
          </cell>
          <cell r="FQ69">
            <v>0</v>
          </cell>
          <cell r="FR69">
            <v>0</v>
          </cell>
          <cell r="FS69">
            <v>0</v>
          </cell>
          <cell r="FT69">
            <v>0</v>
          </cell>
          <cell r="FU69">
            <v>0</v>
          </cell>
          <cell r="FV69">
            <v>0</v>
          </cell>
          <cell r="FW69">
            <v>0</v>
          </cell>
          <cell r="FX69">
            <v>0</v>
          </cell>
          <cell r="FY69">
            <v>0</v>
          </cell>
          <cell r="FZ69">
            <v>0</v>
          </cell>
          <cell r="GA69">
            <v>0</v>
          </cell>
          <cell r="GB69">
            <v>0</v>
          </cell>
          <cell r="GC69">
            <v>0</v>
          </cell>
          <cell r="GD69">
            <v>0</v>
          </cell>
          <cell r="GE69">
            <v>0</v>
          </cell>
          <cell r="GF69">
            <v>0</v>
          </cell>
        </row>
        <row r="70">
          <cell r="CG70" t="str">
            <v>Reimburseables</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EQ70" t="str">
            <v>Reimburseables</v>
          </cell>
          <cell r="ER70">
            <v>31250</v>
          </cell>
          <cell r="ES70">
            <v>70710</v>
          </cell>
          <cell r="ET70">
            <v>11550</v>
          </cell>
          <cell r="EU70">
            <v>11256.521739130432</v>
          </cell>
          <cell r="EV70">
            <v>92688.925739130413</v>
          </cell>
          <cell r="EW70">
            <v>37356.521739130432</v>
          </cell>
          <cell r="EX70">
            <v>11256.521739130432</v>
          </cell>
          <cell r="EY70">
            <v>60388.925739130413</v>
          </cell>
          <cell r="EZ70">
            <v>37356.521739130432</v>
          </cell>
          <cell r="FA70">
            <v>10356.521739130432</v>
          </cell>
          <cell r="FB70">
            <v>61288.925739130413</v>
          </cell>
          <cell r="FC70">
            <v>37356.52173913049</v>
          </cell>
          <cell r="FD70">
            <v>71621.976284584962</v>
          </cell>
          <cell r="FE70">
            <v>60388.925739130413</v>
          </cell>
          <cell r="FF70">
            <v>38256.52173913049</v>
          </cell>
          <cell r="FG70">
            <v>71621.976284584962</v>
          </cell>
          <cell r="FH70">
            <v>119678.92573913041</v>
          </cell>
          <cell r="FI70">
            <v>37356.52173913049</v>
          </cell>
          <cell r="FJ70">
            <v>72521.976284584962</v>
          </cell>
          <cell r="FK70">
            <v>60388.925739130413</v>
          </cell>
          <cell r="FL70">
            <v>37356.52173913049</v>
          </cell>
          <cell r="FM70">
            <v>71621.976284584962</v>
          </cell>
          <cell r="FN70">
            <v>61288.925739130413</v>
          </cell>
          <cell r="FO70">
            <v>198981.52173913043</v>
          </cell>
          <cell r="FP70">
            <v>198981.52173913043</v>
          </cell>
          <cell r="FQ70">
            <v>198981.52173913043</v>
          </cell>
          <cell r="FR70">
            <v>199881.52173913043</v>
          </cell>
          <cell r="FS70">
            <v>198981.52173913043</v>
          </cell>
          <cell r="FT70">
            <v>264200.52173913043</v>
          </cell>
          <cell r="FU70">
            <v>199881.52173913043</v>
          </cell>
          <cell r="FV70">
            <v>198981.52173913043</v>
          </cell>
          <cell r="FW70">
            <v>198981.52173913043</v>
          </cell>
          <cell r="FX70">
            <v>199881.52173913043</v>
          </cell>
          <cell r="FY70">
            <v>198981.52173913043</v>
          </cell>
          <cell r="FZ70">
            <v>198981.52173913043</v>
          </cell>
          <cell r="GA70">
            <v>199881.52173913043</v>
          </cell>
          <cell r="GB70">
            <v>198981.52173913043</v>
          </cell>
          <cell r="GC70">
            <v>199881.52173913043</v>
          </cell>
          <cell r="GD70">
            <v>198981.52173913043</v>
          </cell>
          <cell r="GE70">
            <v>199881.52173913043</v>
          </cell>
          <cell r="GF70">
            <v>198981.52173913043</v>
          </cell>
        </row>
        <row r="71">
          <cell r="CG71">
            <v>0</v>
          </cell>
          <cell r="EQ71">
            <v>0</v>
          </cell>
        </row>
        <row r="72">
          <cell r="CG72">
            <v>0</v>
          </cell>
          <cell r="EQ72">
            <v>0</v>
          </cell>
        </row>
        <row r="73">
          <cell r="CG73">
            <v>0</v>
          </cell>
          <cell r="EQ73">
            <v>0</v>
          </cell>
        </row>
        <row r="74">
          <cell r="CG74">
            <v>0</v>
          </cell>
          <cell r="EQ74">
            <v>0</v>
          </cell>
        </row>
        <row r="75">
          <cell r="CG75">
            <v>0</v>
          </cell>
          <cell r="EQ75">
            <v>0</v>
          </cell>
        </row>
        <row r="76">
          <cell r="CG76" t="str">
            <v>Personnel Expenses</v>
          </cell>
          <cell r="CH76" t="e">
            <v>#VALUE!</v>
          </cell>
          <cell r="CI76" t="e">
            <v>#VALUE!</v>
          </cell>
          <cell r="CJ76" t="e">
            <v>#VALUE!</v>
          </cell>
          <cell r="CK76" t="e">
            <v>#VALUE!</v>
          </cell>
          <cell r="CL76" t="e">
            <v>#VALUE!</v>
          </cell>
          <cell r="CM76" t="e">
            <v>#VALUE!</v>
          </cell>
          <cell r="CN76" t="e">
            <v>#VALUE!</v>
          </cell>
          <cell r="CO76" t="e">
            <v>#VALUE!</v>
          </cell>
          <cell r="CP76" t="e">
            <v>#VALUE!</v>
          </cell>
          <cell r="CQ76" t="e">
            <v>#VALUE!</v>
          </cell>
          <cell r="CR76" t="e">
            <v>#VALUE!</v>
          </cell>
          <cell r="CS76" t="e">
            <v>#VALUE!</v>
          </cell>
          <cell r="CT76" t="e">
            <v>#VALUE!</v>
          </cell>
          <cell r="CU76" t="e">
            <v>#VALUE!</v>
          </cell>
          <cell r="CV76" t="e">
            <v>#VALUE!</v>
          </cell>
          <cell r="CW76" t="e">
            <v>#VALUE!</v>
          </cell>
          <cell r="CX76" t="e">
            <v>#VALUE!</v>
          </cell>
          <cell r="CY76" t="e">
            <v>#VALUE!</v>
          </cell>
          <cell r="CZ76" t="e">
            <v>#VALUE!</v>
          </cell>
          <cell r="DA76" t="e">
            <v>#VALUE!</v>
          </cell>
          <cell r="DB76" t="e">
            <v>#VALUE!</v>
          </cell>
          <cell r="DC76" t="e">
            <v>#VALUE!</v>
          </cell>
          <cell r="DD76" t="e">
            <v>#VALUE!</v>
          </cell>
          <cell r="DE76" t="e">
            <v>#VALUE!</v>
          </cell>
          <cell r="DF76" t="e">
            <v>#VALUE!</v>
          </cell>
          <cell r="DG76" t="e">
            <v>#VALUE!</v>
          </cell>
          <cell r="DH76" t="e">
            <v>#VALUE!</v>
          </cell>
          <cell r="DI76" t="e">
            <v>#VALUE!</v>
          </cell>
          <cell r="DJ76" t="e">
            <v>#VALUE!</v>
          </cell>
          <cell r="DK76" t="e">
            <v>#VALUE!</v>
          </cell>
          <cell r="DL76" t="e">
            <v>#VALUE!</v>
          </cell>
          <cell r="DM76" t="e">
            <v>#VALUE!</v>
          </cell>
          <cell r="DN76" t="e">
            <v>#VALUE!</v>
          </cell>
          <cell r="DO76" t="e">
            <v>#VALUE!</v>
          </cell>
          <cell r="DP76" t="e">
            <v>#VALUE!</v>
          </cell>
          <cell r="DQ76" t="e">
            <v>#VALUE!</v>
          </cell>
          <cell r="DR76" t="e">
            <v>#VALUE!</v>
          </cell>
          <cell r="DS76" t="e">
            <v>#VALUE!</v>
          </cell>
          <cell r="DT76" t="e">
            <v>#VALUE!</v>
          </cell>
          <cell r="DU76" t="e">
            <v>#VALUE!</v>
          </cell>
          <cell r="DV76" t="e">
            <v>#VALUE!</v>
          </cell>
          <cell r="EQ76" t="str">
            <v>Personnel Expenses</v>
          </cell>
          <cell r="ER76">
            <v>42845</v>
          </cell>
          <cell r="ES76">
            <v>39302.043478260872</v>
          </cell>
          <cell r="ET76">
            <v>46082.478260869568</v>
          </cell>
          <cell r="EU76">
            <v>44282.478260869568</v>
          </cell>
          <cell r="EV76">
            <v>46082.478260869568</v>
          </cell>
          <cell r="EW76">
            <v>45863.407826086957</v>
          </cell>
          <cell r="EX76">
            <v>47663.407826086957</v>
          </cell>
          <cell r="EY76">
            <v>45863.407826086957</v>
          </cell>
          <cell r="EZ76">
            <v>47663.407826086957</v>
          </cell>
          <cell r="FA76">
            <v>45863.407826086957</v>
          </cell>
          <cell r="FB76">
            <v>45863.407826086957</v>
          </cell>
          <cell r="FC76">
            <v>45863.407826086957</v>
          </cell>
          <cell r="FD76">
            <v>45863.407826086957</v>
          </cell>
          <cell r="FE76">
            <v>51863.407826086957</v>
          </cell>
          <cell r="FF76">
            <v>45863.407826086957</v>
          </cell>
          <cell r="FG76">
            <v>45863.407826086957</v>
          </cell>
          <cell r="FH76">
            <v>45863.407826086957</v>
          </cell>
          <cell r="FI76">
            <v>47573.890800000001</v>
          </cell>
          <cell r="FJ76">
            <v>47573.890800000001</v>
          </cell>
          <cell r="FK76">
            <v>47573.890800000001</v>
          </cell>
          <cell r="FL76">
            <v>47573.890800000001</v>
          </cell>
          <cell r="FM76">
            <v>47573.890800000001</v>
          </cell>
          <cell r="FN76">
            <v>47573.890800000001</v>
          </cell>
          <cell r="FO76">
            <v>47573.890800000001</v>
          </cell>
          <cell r="FP76">
            <v>47573.890800000001</v>
          </cell>
          <cell r="FQ76">
            <v>53573.890800000001</v>
          </cell>
          <cell r="FR76">
            <v>47573.890800000001</v>
          </cell>
          <cell r="FS76">
            <v>47573.890800000001</v>
          </cell>
          <cell r="FT76">
            <v>47573.890800000001</v>
          </cell>
          <cell r="FU76">
            <v>49426.026337043477</v>
          </cell>
          <cell r="FV76">
            <v>52426.026337043477</v>
          </cell>
          <cell r="FW76">
            <v>49426.026337043477</v>
          </cell>
          <cell r="FX76">
            <v>49426.026337043477</v>
          </cell>
          <cell r="FY76">
            <v>49426.026337043477</v>
          </cell>
          <cell r="FZ76">
            <v>49426.026337043477</v>
          </cell>
          <cell r="GA76">
            <v>49426.026337043477</v>
          </cell>
          <cell r="GB76">
            <v>49426.026337043477</v>
          </cell>
          <cell r="GC76">
            <v>55426.026337043477</v>
          </cell>
          <cell r="GD76">
            <v>49426.026337043477</v>
          </cell>
          <cell r="GE76">
            <v>49426.026337043477</v>
          </cell>
          <cell r="GF76">
            <v>15027.1041266087</v>
          </cell>
        </row>
        <row r="77">
          <cell r="CG77" t="str">
            <v>Grant Expense</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EQ77" t="str">
            <v>Grant Expense</v>
          </cell>
          <cell r="ER77">
            <v>270000</v>
          </cell>
          <cell r="ES77">
            <v>0</v>
          </cell>
          <cell r="ET77">
            <v>0</v>
          </cell>
          <cell r="EU77">
            <v>263263</v>
          </cell>
          <cell r="EV77">
            <v>250000</v>
          </cell>
          <cell r="EW77">
            <v>0</v>
          </cell>
          <cell r="EX77">
            <v>463262.99999999988</v>
          </cell>
          <cell r="EY77">
            <v>250000</v>
          </cell>
          <cell r="EZ77">
            <v>0</v>
          </cell>
          <cell r="FA77">
            <v>463262.99999999988</v>
          </cell>
          <cell r="FB77">
            <v>250000</v>
          </cell>
          <cell r="FC77">
            <v>567272.72727272718</v>
          </cell>
          <cell r="FD77">
            <v>463262.99999999988</v>
          </cell>
          <cell r="FE77">
            <v>250000</v>
          </cell>
          <cell r="FF77">
            <v>567272.72727272718</v>
          </cell>
          <cell r="FG77">
            <v>463262.99999999988</v>
          </cell>
          <cell r="FH77">
            <v>250000</v>
          </cell>
          <cell r="FI77">
            <v>567272.72727272718</v>
          </cell>
          <cell r="FJ77">
            <v>463262.99999999988</v>
          </cell>
          <cell r="FK77">
            <v>250000</v>
          </cell>
          <cell r="FL77">
            <v>567272.72727272718</v>
          </cell>
          <cell r="FM77">
            <v>463262.99999999988</v>
          </cell>
          <cell r="FN77">
            <v>250000</v>
          </cell>
          <cell r="FO77">
            <v>0</v>
          </cell>
          <cell r="FP77">
            <v>0</v>
          </cell>
          <cell r="FQ77">
            <v>0</v>
          </cell>
          <cell r="FR77">
            <v>0</v>
          </cell>
          <cell r="FS77">
            <v>0</v>
          </cell>
          <cell r="FT77">
            <v>0</v>
          </cell>
          <cell r="FU77">
            <v>0</v>
          </cell>
          <cell r="FV77">
            <v>0</v>
          </cell>
          <cell r="FW77">
            <v>0</v>
          </cell>
          <cell r="FX77">
            <v>0</v>
          </cell>
          <cell r="FY77">
            <v>0</v>
          </cell>
          <cell r="FZ77">
            <v>0</v>
          </cell>
          <cell r="GA77">
            <v>0</v>
          </cell>
          <cell r="GB77">
            <v>0</v>
          </cell>
          <cell r="GC77">
            <v>0</v>
          </cell>
          <cell r="GD77">
            <v>0</v>
          </cell>
          <cell r="GE77">
            <v>0</v>
          </cell>
          <cell r="GF77">
            <v>0</v>
          </cell>
        </row>
        <row r="78">
          <cell r="CG78" t="str">
            <v>Reimburseable Costs</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EQ78" t="str">
            <v>Reimburseable Costs</v>
          </cell>
          <cell r="ER78">
            <v>29500</v>
          </cell>
          <cell r="ES78">
            <v>63150</v>
          </cell>
          <cell r="ET78">
            <v>11550</v>
          </cell>
          <cell r="EU78">
            <v>11256.521739130432</v>
          </cell>
          <cell r="EV78">
            <v>85317.561739130411</v>
          </cell>
          <cell r="EW78">
            <v>30356.521739130432</v>
          </cell>
          <cell r="EX78">
            <v>11256.521739130432</v>
          </cell>
          <cell r="EY78">
            <v>47417.561739130411</v>
          </cell>
          <cell r="EZ78">
            <v>30356.521739130432</v>
          </cell>
          <cell r="FA78">
            <v>10356.521739130432</v>
          </cell>
          <cell r="FB78">
            <v>48317.561739130411</v>
          </cell>
          <cell r="FC78">
            <v>30356.52173913049</v>
          </cell>
          <cell r="FD78">
            <v>55738.339920948609</v>
          </cell>
          <cell r="FE78">
            <v>47417.561739130411</v>
          </cell>
          <cell r="FF78">
            <v>31256.52173913049</v>
          </cell>
          <cell r="FG78">
            <v>55738.339920948609</v>
          </cell>
          <cell r="FH78">
            <v>106707.56173913041</v>
          </cell>
          <cell r="FI78">
            <v>30356.52173913049</v>
          </cell>
          <cell r="FJ78">
            <v>56638.339920948609</v>
          </cell>
          <cell r="FK78">
            <v>47417.561739130411</v>
          </cell>
          <cell r="FL78">
            <v>30356.52173913049</v>
          </cell>
          <cell r="FM78">
            <v>55738.339920948609</v>
          </cell>
          <cell r="FN78">
            <v>48317.561739130411</v>
          </cell>
          <cell r="FO78">
            <v>150078.74396135265</v>
          </cell>
          <cell r="FP78">
            <v>150078.74396135265</v>
          </cell>
          <cell r="FQ78">
            <v>150078.74396135265</v>
          </cell>
          <cell r="FR78">
            <v>150978.74396135265</v>
          </cell>
          <cell r="FS78">
            <v>150078.74396135265</v>
          </cell>
          <cell r="FT78">
            <v>215297.74396135268</v>
          </cell>
          <cell r="FU78">
            <v>150978.74396135265</v>
          </cell>
          <cell r="FV78">
            <v>150078.74396135265</v>
          </cell>
          <cell r="FW78">
            <v>150078.74396135265</v>
          </cell>
          <cell r="FX78">
            <v>150978.74396135265</v>
          </cell>
          <cell r="FY78">
            <v>150078.74396135265</v>
          </cell>
          <cell r="FZ78">
            <v>150078.74396135265</v>
          </cell>
          <cell r="GA78">
            <v>150978.74396135265</v>
          </cell>
          <cell r="GB78">
            <v>150078.74396135265</v>
          </cell>
          <cell r="GC78">
            <v>150978.74396135265</v>
          </cell>
          <cell r="GD78">
            <v>150078.74396135265</v>
          </cell>
          <cell r="GE78">
            <v>150978.74396135265</v>
          </cell>
          <cell r="GF78">
            <v>150078.74396135265</v>
          </cell>
        </row>
        <row r="79">
          <cell r="CG79" t="str">
            <v>Non-Reimburseables</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EQ79" t="str">
            <v>Non-Reimburseables</v>
          </cell>
          <cell r="ER79">
            <v>488.85416666666669</v>
          </cell>
          <cell r="ES79">
            <v>488.85416666666669</v>
          </cell>
          <cell r="ET79">
            <v>488.85416666666669</v>
          </cell>
          <cell r="EU79">
            <v>688.85416666666663</v>
          </cell>
          <cell r="EV79">
            <v>688.85416666666663</v>
          </cell>
          <cell r="EW79">
            <v>688.85416666666663</v>
          </cell>
          <cell r="EX79">
            <v>688.85416666666663</v>
          </cell>
          <cell r="EY79">
            <v>688.85416666666663</v>
          </cell>
          <cell r="EZ79">
            <v>688.85416666666663</v>
          </cell>
          <cell r="FA79">
            <v>688.85416666666663</v>
          </cell>
          <cell r="FB79">
            <v>688.85416666666663</v>
          </cell>
          <cell r="FC79">
            <v>688.85416666666663</v>
          </cell>
          <cell r="FD79">
            <v>688.85416666666663</v>
          </cell>
          <cell r="FE79">
            <v>688.85416666666663</v>
          </cell>
          <cell r="FF79">
            <v>688.85416666666663</v>
          </cell>
          <cell r="FG79">
            <v>688.85416666666663</v>
          </cell>
          <cell r="FH79">
            <v>3188.8541666666665</v>
          </cell>
          <cell r="FI79">
            <v>688.85416666666663</v>
          </cell>
          <cell r="FJ79">
            <v>688.85416666666663</v>
          </cell>
          <cell r="FK79">
            <v>688.85416666666663</v>
          </cell>
          <cell r="FL79">
            <v>688.85416666666663</v>
          </cell>
          <cell r="FM79">
            <v>688.85416666666663</v>
          </cell>
          <cell r="FN79">
            <v>688.85416666666663</v>
          </cell>
          <cell r="FO79">
            <v>688.85416666666663</v>
          </cell>
          <cell r="FP79">
            <v>688.85416666666663</v>
          </cell>
          <cell r="FQ79">
            <v>688.85416666666663</v>
          </cell>
          <cell r="FR79">
            <v>688.85416666666663</v>
          </cell>
          <cell r="FS79">
            <v>688.85416666666663</v>
          </cell>
          <cell r="FT79">
            <v>3188.8541666666665</v>
          </cell>
          <cell r="FU79">
            <v>688.85416666666663</v>
          </cell>
          <cell r="FV79">
            <v>688.85416666666663</v>
          </cell>
          <cell r="FW79">
            <v>688.85416666666663</v>
          </cell>
          <cell r="FX79">
            <v>688.85416666666663</v>
          </cell>
          <cell r="FY79">
            <v>688.85416666666663</v>
          </cell>
          <cell r="FZ79">
            <v>688.85416666666663</v>
          </cell>
          <cell r="GA79">
            <v>688.85416666666663</v>
          </cell>
          <cell r="GB79">
            <v>688.85416666666663</v>
          </cell>
          <cell r="GC79">
            <v>688.85416666666663</v>
          </cell>
          <cell r="GD79">
            <v>688.85416666666663</v>
          </cell>
          <cell r="GE79">
            <v>688.85416666666663</v>
          </cell>
          <cell r="GF79">
            <v>3188.8541666666665</v>
          </cell>
        </row>
        <row r="80">
          <cell r="CG80">
            <v>0</v>
          </cell>
          <cell r="EQ80">
            <v>0</v>
          </cell>
        </row>
        <row r="81">
          <cell r="CG81">
            <v>0</v>
          </cell>
          <cell r="EQ81">
            <v>0</v>
          </cell>
        </row>
        <row r="82">
          <cell r="CG82">
            <v>0</v>
          </cell>
          <cell r="EQ82">
            <v>0</v>
          </cell>
        </row>
        <row r="83">
          <cell r="CG83">
            <v>0</v>
          </cell>
          <cell r="EQ83">
            <v>0</v>
          </cell>
        </row>
        <row r="84">
          <cell r="CG84">
            <v>0</v>
          </cell>
          <cell r="EQ84">
            <v>0</v>
          </cell>
        </row>
        <row r="85">
          <cell r="CG85" t="str">
            <v>Allocated Staff Expenses</v>
          </cell>
          <cell r="CH85" t="e">
            <v>#VALUE!</v>
          </cell>
          <cell r="CI85" t="e">
            <v>#VALUE!</v>
          </cell>
          <cell r="CJ85" t="e">
            <v>#VALUE!</v>
          </cell>
          <cell r="CK85" t="e">
            <v>#VALUE!</v>
          </cell>
          <cell r="CL85" t="e">
            <v>#VALUE!</v>
          </cell>
          <cell r="CM85" t="e">
            <v>#VALUE!</v>
          </cell>
          <cell r="CN85" t="e">
            <v>#VALUE!</v>
          </cell>
          <cell r="CO85" t="e">
            <v>#VALUE!</v>
          </cell>
          <cell r="CP85" t="e">
            <v>#VALUE!</v>
          </cell>
          <cell r="CQ85" t="e">
            <v>#VALUE!</v>
          </cell>
          <cell r="CR85" t="e">
            <v>#VALUE!</v>
          </cell>
          <cell r="CS85" t="e">
            <v>#VALUE!</v>
          </cell>
          <cell r="CT85" t="e">
            <v>#VALUE!</v>
          </cell>
          <cell r="CU85" t="e">
            <v>#VALUE!</v>
          </cell>
          <cell r="CV85" t="e">
            <v>#VALUE!</v>
          </cell>
          <cell r="CW85" t="e">
            <v>#VALUE!</v>
          </cell>
          <cell r="CX85" t="e">
            <v>#VALUE!</v>
          </cell>
          <cell r="CY85" t="e">
            <v>#VALUE!</v>
          </cell>
          <cell r="CZ85" t="e">
            <v>#VALUE!</v>
          </cell>
          <cell r="DA85" t="e">
            <v>#VALUE!</v>
          </cell>
          <cell r="DB85" t="e">
            <v>#VALUE!</v>
          </cell>
          <cell r="DC85" t="e">
            <v>#VALUE!</v>
          </cell>
          <cell r="DD85" t="e">
            <v>#VALUE!</v>
          </cell>
          <cell r="DE85" t="e">
            <v>#VALUE!</v>
          </cell>
          <cell r="DF85" t="e">
            <v>#VALUE!</v>
          </cell>
          <cell r="DG85" t="e">
            <v>#VALUE!</v>
          </cell>
          <cell r="DH85" t="e">
            <v>#VALUE!</v>
          </cell>
          <cell r="DI85" t="e">
            <v>#VALUE!</v>
          </cell>
          <cell r="DJ85" t="e">
            <v>#VALUE!</v>
          </cell>
          <cell r="DK85" t="e">
            <v>#VALUE!</v>
          </cell>
          <cell r="DL85" t="e">
            <v>#VALUE!</v>
          </cell>
          <cell r="DM85" t="e">
            <v>#VALUE!</v>
          </cell>
          <cell r="DN85" t="e">
            <v>#VALUE!</v>
          </cell>
          <cell r="DO85" t="e">
            <v>#VALUE!</v>
          </cell>
          <cell r="DP85" t="e">
            <v>#VALUE!</v>
          </cell>
          <cell r="DQ85" t="e">
            <v>#VALUE!</v>
          </cell>
          <cell r="DR85" t="e">
            <v>#VALUE!</v>
          </cell>
          <cell r="DS85" t="e">
            <v>#VALUE!</v>
          </cell>
          <cell r="DT85" t="e">
            <v>#VALUE!</v>
          </cell>
          <cell r="DU85" t="e">
            <v>#VALUE!</v>
          </cell>
          <cell r="DV85" t="e">
            <v>#VALUE!</v>
          </cell>
          <cell r="EQ85" t="str">
            <v>Allocated Staff Expenses</v>
          </cell>
          <cell r="ER85">
            <v>9872.5499999999993</v>
          </cell>
          <cell r="ES85">
            <v>2449.608695652174</v>
          </cell>
          <cell r="ET85">
            <v>2449.608695652174</v>
          </cell>
          <cell r="EU85">
            <v>2449.608695652174</v>
          </cell>
          <cell r="EV85">
            <v>2449.608695652174</v>
          </cell>
          <cell r="EW85">
            <v>2449.608695652174</v>
          </cell>
          <cell r="EX85">
            <v>2449.608695652174</v>
          </cell>
          <cell r="EY85">
            <v>2449.608695652174</v>
          </cell>
          <cell r="EZ85">
            <v>2449.608695652174</v>
          </cell>
          <cell r="FA85">
            <v>2449.608695652174</v>
          </cell>
          <cell r="FB85">
            <v>2449.608695652174</v>
          </cell>
          <cell r="FC85">
            <v>2449.608695652174</v>
          </cell>
          <cell r="FD85">
            <v>2449.608695652174</v>
          </cell>
          <cell r="FE85">
            <v>2449.608695652174</v>
          </cell>
          <cell r="FF85">
            <v>2449.608695652174</v>
          </cell>
          <cell r="FG85">
            <v>2449.608695652174</v>
          </cell>
          <cell r="FH85">
            <v>2449.608695652174</v>
          </cell>
          <cell r="FI85">
            <v>2449.608695652174</v>
          </cell>
          <cell r="FJ85">
            <v>2449.608695652174</v>
          </cell>
          <cell r="FK85">
            <v>2449.608695652174</v>
          </cell>
          <cell r="FL85">
            <v>2449.608695652174</v>
          </cell>
          <cell r="FM85">
            <v>2449.608695652174</v>
          </cell>
          <cell r="FN85">
            <v>2449.608695652174</v>
          </cell>
          <cell r="FO85">
            <v>2449.608695652174</v>
          </cell>
          <cell r="FP85">
            <v>2449.608695652174</v>
          </cell>
          <cell r="FQ85">
            <v>2449.608695652174</v>
          </cell>
          <cell r="FR85">
            <v>2449.608695652174</v>
          </cell>
          <cell r="FS85">
            <v>2449.608695652174</v>
          </cell>
          <cell r="FT85">
            <v>2449.608695652174</v>
          </cell>
          <cell r="FU85">
            <v>2449.608695652174</v>
          </cell>
          <cell r="FV85">
            <v>2449.608695652174</v>
          </cell>
          <cell r="FW85">
            <v>2449.608695652174</v>
          </cell>
          <cell r="FX85">
            <v>2449.608695652174</v>
          </cell>
          <cell r="FY85">
            <v>2449.608695652174</v>
          </cell>
          <cell r="FZ85">
            <v>2449.608695652174</v>
          </cell>
          <cell r="GA85">
            <v>2449.608695652174</v>
          </cell>
          <cell r="GB85">
            <v>2449.608695652174</v>
          </cell>
          <cell r="GC85">
            <v>2449.608695652174</v>
          </cell>
          <cell r="GD85">
            <v>2449.608695652174</v>
          </cell>
          <cell r="GE85">
            <v>2449.608695652174</v>
          </cell>
          <cell r="GF85">
            <v>2449.608695652174</v>
          </cell>
        </row>
        <row r="86">
          <cell r="CG86">
            <v>0</v>
          </cell>
          <cell r="EQ86">
            <v>0</v>
          </cell>
        </row>
        <row r="89">
          <cell r="DV89" t="str">
            <v>Actual</v>
          </cell>
          <cell r="DW89" t="str">
            <v>Actual</v>
          </cell>
          <cell r="DX89" t="str">
            <v>Actual</v>
          </cell>
          <cell r="DY89" t="str">
            <v>Actual</v>
          </cell>
          <cell r="DZ89" t="str">
            <v>Actual</v>
          </cell>
          <cell r="EA89" t="str">
            <v>Actual</v>
          </cell>
          <cell r="EB89" t="str">
            <v>Actual</v>
          </cell>
          <cell r="EC89" t="str">
            <v>Actual</v>
          </cell>
          <cell r="ED89" t="str">
            <v>Actual</v>
          </cell>
          <cell r="EE89" t="str">
            <v>Actual</v>
          </cell>
          <cell r="EF89" t="str">
            <v>Actual</v>
          </cell>
          <cell r="EG89" t="str">
            <v>Actual</v>
          </cell>
          <cell r="EH89" t="str">
            <v>Actual</v>
          </cell>
          <cell r="GF89" t="str">
            <v>Forecast</v>
          </cell>
          <cell r="GG89" t="str">
            <v>Forecast</v>
          </cell>
          <cell r="GH89" t="str">
            <v>Forecast</v>
          </cell>
          <cell r="GI89" t="str">
            <v>Forecast</v>
          </cell>
          <cell r="GJ89" t="str">
            <v>Forecast</v>
          </cell>
          <cell r="GK89" t="str">
            <v>Forecast</v>
          </cell>
          <cell r="GL89" t="str">
            <v>Forecast</v>
          </cell>
          <cell r="GM89" t="str">
            <v>Forecast</v>
          </cell>
          <cell r="GN89" t="str">
            <v>Forecast</v>
          </cell>
          <cell r="GO89" t="str">
            <v>Forecast</v>
          </cell>
          <cell r="GP89" t="str">
            <v>Forecast</v>
          </cell>
          <cell r="GQ89" t="str">
            <v>Forecast</v>
          </cell>
          <cell r="GR89" t="str">
            <v>Forecast</v>
          </cell>
        </row>
        <row r="91">
          <cell r="DV91">
            <v>42979</v>
          </cell>
          <cell r="DW91">
            <v>43009</v>
          </cell>
          <cell r="DX91">
            <v>43040</v>
          </cell>
          <cell r="DY91">
            <v>43070</v>
          </cell>
          <cell r="DZ91">
            <v>43101</v>
          </cell>
          <cell r="EA91">
            <v>43132</v>
          </cell>
          <cell r="EB91">
            <v>43160</v>
          </cell>
          <cell r="EC91">
            <v>43191</v>
          </cell>
          <cell r="ED91">
            <v>43221</v>
          </cell>
          <cell r="EE91">
            <v>43252</v>
          </cell>
          <cell r="EF91">
            <v>43282</v>
          </cell>
          <cell r="EG91">
            <v>43313</v>
          </cell>
          <cell r="EH91">
            <v>43344</v>
          </cell>
          <cell r="GF91">
            <v>42979</v>
          </cell>
          <cell r="GG91">
            <v>43009</v>
          </cell>
          <cell r="GH91">
            <v>43040</v>
          </cell>
          <cell r="GI91">
            <v>43070</v>
          </cell>
          <cell r="GJ91">
            <v>43101</v>
          </cell>
          <cell r="GK91">
            <v>43132</v>
          </cell>
          <cell r="GL91">
            <v>43160</v>
          </cell>
          <cell r="GM91">
            <v>43191</v>
          </cell>
          <cell r="GN91">
            <v>43221</v>
          </cell>
          <cell r="GO91">
            <v>43252</v>
          </cell>
          <cell r="GP91">
            <v>43282</v>
          </cell>
          <cell r="GQ91">
            <v>43313</v>
          </cell>
          <cell r="GR91">
            <v>43344</v>
          </cell>
        </row>
        <row r="93">
          <cell r="DU93" t="str">
            <v>Personnel Fees</v>
          </cell>
          <cell r="DV93">
            <v>0</v>
          </cell>
          <cell r="DW93">
            <v>0</v>
          </cell>
          <cell r="DX93">
            <v>0</v>
          </cell>
          <cell r="DY93">
            <v>0</v>
          </cell>
          <cell r="DZ93">
            <v>0</v>
          </cell>
          <cell r="EA93">
            <v>0</v>
          </cell>
          <cell r="EB93">
            <v>0</v>
          </cell>
          <cell r="EC93">
            <v>0</v>
          </cell>
          <cell r="ED93">
            <v>0</v>
          </cell>
          <cell r="EE93">
            <v>0</v>
          </cell>
          <cell r="EF93">
            <v>0</v>
          </cell>
          <cell r="EG93">
            <v>0</v>
          </cell>
          <cell r="EH93">
            <v>0</v>
          </cell>
          <cell r="GE93" t="str">
            <v>Personnel Fees</v>
          </cell>
          <cell r="GF93">
            <v>22733.076923076922</v>
          </cell>
          <cell r="GG93">
            <v>30382.39576365663</v>
          </cell>
          <cell r="GH93">
            <v>30382.39576365663</v>
          </cell>
          <cell r="GI93">
            <v>58262.395763656634</v>
          </cell>
          <cell r="GJ93">
            <v>30382.39576365663</v>
          </cell>
          <cell r="GK93">
            <v>30382.39576365663</v>
          </cell>
          <cell r="GL93">
            <v>28058.263807134892</v>
          </cell>
          <cell r="GM93">
            <v>26055.80880713489</v>
          </cell>
          <cell r="GN93">
            <v>22791.80880713489</v>
          </cell>
          <cell r="GO93">
            <v>16082.475473801562</v>
          </cell>
          <cell r="GP93">
            <v>16211.565256410258</v>
          </cell>
          <cell r="GQ93">
            <v>13922.190256410258</v>
          </cell>
          <cell r="GR93">
            <v>4548.0769230769229</v>
          </cell>
        </row>
        <row r="94">
          <cell r="DU94" t="str">
            <v>Milestones</v>
          </cell>
          <cell r="DV94">
            <v>0</v>
          </cell>
          <cell r="DW94">
            <v>0</v>
          </cell>
          <cell r="DX94">
            <v>0</v>
          </cell>
          <cell r="DY94">
            <v>0</v>
          </cell>
          <cell r="DZ94">
            <v>0</v>
          </cell>
          <cell r="EA94">
            <v>0</v>
          </cell>
          <cell r="EB94">
            <v>0</v>
          </cell>
          <cell r="EC94">
            <v>0</v>
          </cell>
          <cell r="ED94">
            <v>0</v>
          </cell>
          <cell r="EE94">
            <v>0</v>
          </cell>
          <cell r="EF94">
            <v>0</v>
          </cell>
          <cell r="EG94">
            <v>0</v>
          </cell>
          <cell r="EH94">
            <v>0</v>
          </cell>
          <cell r="GE94" t="str">
            <v>Milestones</v>
          </cell>
          <cell r="GF94">
            <v>0</v>
          </cell>
          <cell r="GG94">
            <v>0</v>
          </cell>
          <cell r="GH94">
            <v>0</v>
          </cell>
          <cell r="GI94">
            <v>32500</v>
          </cell>
          <cell r="GJ94">
            <v>0</v>
          </cell>
          <cell r="GK94">
            <v>0</v>
          </cell>
          <cell r="GL94">
            <v>32500</v>
          </cell>
          <cell r="GM94">
            <v>0</v>
          </cell>
          <cell r="GN94">
            <v>0</v>
          </cell>
          <cell r="GO94">
            <v>32500</v>
          </cell>
          <cell r="GP94">
            <v>0</v>
          </cell>
          <cell r="GQ94">
            <v>0</v>
          </cell>
          <cell r="GR94">
            <v>304949</v>
          </cell>
        </row>
        <row r="95">
          <cell r="DU95" t="str">
            <v>Grants</v>
          </cell>
          <cell r="DV95">
            <v>0</v>
          </cell>
          <cell r="DW95">
            <v>0</v>
          </cell>
          <cell r="DX95">
            <v>0</v>
          </cell>
          <cell r="DY95">
            <v>0</v>
          </cell>
          <cell r="DZ95">
            <v>0</v>
          </cell>
          <cell r="EA95">
            <v>0</v>
          </cell>
          <cell r="EB95">
            <v>0</v>
          </cell>
          <cell r="EC95">
            <v>0</v>
          </cell>
          <cell r="ED95">
            <v>0</v>
          </cell>
          <cell r="EE95">
            <v>0</v>
          </cell>
          <cell r="EF95">
            <v>0</v>
          </cell>
          <cell r="EG95">
            <v>0</v>
          </cell>
          <cell r="EH95">
            <v>0</v>
          </cell>
          <cell r="GE95" t="str">
            <v>Grants</v>
          </cell>
          <cell r="GF95">
            <v>5838.4615384615381</v>
          </cell>
          <cell r="GG95">
            <v>15467.628205128205</v>
          </cell>
          <cell r="GH95">
            <v>14567.628205128205</v>
          </cell>
          <cell r="GI95">
            <v>14567.628205128205</v>
          </cell>
          <cell r="GJ95">
            <v>15467.628205128205</v>
          </cell>
          <cell r="GK95">
            <v>14567.628205128205</v>
          </cell>
          <cell r="GL95">
            <v>14567.628205128205</v>
          </cell>
          <cell r="GM95">
            <v>15467.628205128205</v>
          </cell>
          <cell r="GN95">
            <v>14567.628205128205</v>
          </cell>
          <cell r="GO95">
            <v>14567.628205128205</v>
          </cell>
          <cell r="GP95">
            <v>14567.628205128205</v>
          </cell>
          <cell r="GQ95">
            <v>15467.628205128205</v>
          </cell>
          <cell r="GR95">
            <v>13467.628205128205</v>
          </cell>
        </row>
        <row r="96">
          <cell r="DU96" t="str">
            <v>Reimburseables</v>
          </cell>
          <cell r="DV96">
            <v>0</v>
          </cell>
          <cell r="DW96">
            <v>0</v>
          </cell>
          <cell r="DX96">
            <v>0</v>
          </cell>
          <cell r="DY96">
            <v>0</v>
          </cell>
          <cell r="DZ96">
            <v>0</v>
          </cell>
          <cell r="EA96">
            <v>0</v>
          </cell>
          <cell r="EB96">
            <v>0</v>
          </cell>
          <cell r="EC96">
            <v>0</v>
          </cell>
          <cell r="ED96">
            <v>0</v>
          </cell>
          <cell r="EE96">
            <v>0</v>
          </cell>
          <cell r="EF96">
            <v>0</v>
          </cell>
          <cell r="EG96">
            <v>0</v>
          </cell>
          <cell r="EH96">
            <v>0</v>
          </cell>
          <cell r="GE96" t="str">
            <v>Reimburseables</v>
          </cell>
          <cell r="GF96">
            <v>0</v>
          </cell>
          <cell r="GG96">
            <v>688.91666666666663</v>
          </cell>
          <cell r="GH96">
            <v>688.91666666666663</v>
          </cell>
          <cell r="GI96">
            <v>688.91666666666663</v>
          </cell>
          <cell r="GJ96">
            <v>688.91666666666663</v>
          </cell>
          <cell r="GK96">
            <v>688.91666666666663</v>
          </cell>
          <cell r="GL96">
            <v>688.91666666666663</v>
          </cell>
          <cell r="GM96">
            <v>688.91666666666663</v>
          </cell>
          <cell r="GN96">
            <v>688.91666666666663</v>
          </cell>
          <cell r="GO96">
            <v>688.91666666666663</v>
          </cell>
          <cell r="GP96">
            <v>688.91666666666663</v>
          </cell>
          <cell r="GQ96">
            <v>688.91666666666663</v>
          </cell>
          <cell r="GR96">
            <v>3188.9166666666665</v>
          </cell>
        </row>
        <row r="97">
          <cell r="DU97">
            <v>0</v>
          </cell>
          <cell r="GE97">
            <v>0</v>
          </cell>
        </row>
        <row r="98">
          <cell r="DU98">
            <v>0</v>
          </cell>
          <cell r="GE98">
            <v>0</v>
          </cell>
        </row>
        <row r="99">
          <cell r="DU99">
            <v>0</v>
          </cell>
          <cell r="GE99">
            <v>0</v>
          </cell>
        </row>
        <row r="100">
          <cell r="DU100">
            <v>0</v>
          </cell>
          <cell r="GE100">
            <v>0</v>
          </cell>
        </row>
        <row r="101">
          <cell r="DU101">
            <v>0</v>
          </cell>
          <cell r="GE101">
            <v>0</v>
          </cell>
        </row>
        <row r="102">
          <cell r="DU102" t="str">
            <v>Personnel Expenses</v>
          </cell>
          <cell r="DV102">
            <v>0</v>
          </cell>
          <cell r="DW102">
            <v>0</v>
          </cell>
          <cell r="DX102">
            <v>0</v>
          </cell>
          <cell r="DY102">
            <v>0</v>
          </cell>
          <cell r="DZ102">
            <v>0</v>
          </cell>
          <cell r="EA102">
            <v>0</v>
          </cell>
          <cell r="EB102">
            <v>0</v>
          </cell>
          <cell r="EC102">
            <v>0</v>
          </cell>
          <cell r="ED102">
            <v>0</v>
          </cell>
          <cell r="EE102">
            <v>0</v>
          </cell>
          <cell r="EF102">
            <v>0</v>
          </cell>
          <cell r="EG102">
            <v>0</v>
          </cell>
          <cell r="EH102">
            <v>0</v>
          </cell>
          <cell r="GE102" t="str">
            <v>Personnel Expenses</v>
          </cell>
          <cell r="GF102">
            <v>34740.545378933341</v>
          </cell>
          <cell r="GG102">
            <v>47246.970417772463</v>
          </cell>
          <cell r="GH102">
            <v>47246.970417772463</v>
          </cell>
          <cell r="GI102">
            <v>93586.970417772463</v>
          </cell>
          <cell r="GJ102">
            <v>47246.970417772463</v>
          </cell>
          <cell r="GK102">
            <v>47246.970417772463</v>
          </cell>
          <cell r="GL102">
            <v>42993.561790381158</v>
          </cell>
          <cell r="GM102">
            <v>39328.85620038116</v>
          </cell>
          <cell r="GN102">
            <v>34100.66617986116</v>
          </cell>
          <cell r="GO102">
            <v>23353.831137681162</v>
          </cell>
          <cell r="GP102">
            <v>23588.539833333332</v>
          </cell>
          <cell r="GQ102">
            <v>19426.039833333336</v>
          </cell>
          <cell r="GR102">
            <v>4583.5745000000006</v>
          </cell>
        </row>
        <row r="103">
          <cell r="DU103" t="str">
            <v>Grant Expense</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GE103" t="str">
            <v>Grant Expense</v>
          </cell>
          <cell r="GF103">
            <v>0</v>
          </cell>
          <cell r="GG103">
            <v>0</v>
          </cell>
          <cell r="GH103">
            <v>0</v>
          </cell>
          <cell r="GI103">
            <v>0</v>
          </cell>
          <cell r="GJ103">
            <v>0</v>
          </cell>
          <cell r="GK103">
            <v>0</v>
          </cell>
          <cell r="GL103">
            <v>0</v>
          </cell>
          <cell r="GM103">
            <v>0</v>
          </cell>
          <cell r="GN103">
            <v>0</v>
          </cell>
          <cell r="GO103">
            <v>0</v>
          </cell>
          <cell r="GP103">
            <v>0</v>
          </cell>
          <cell r="GQ103">
            <v>0</v>
          </cell>
          <cell r="GR103">
            <v>0</v>
          </cell>
        </row>
        <row r="104">
          <cell r="DU104" t="str">
            <v>Reimburseable Costs</v>
          </cell>
          <cell r="DV104">
            <v>0</v>
          </cell>
          <cell r="DW104">
            <v>0</v>
          </cell>
          <cell r="DX104">
            <v>0</v>
          </cell>
          <cell r="DY104">
            <v>0</v>
          </cell>
          <cell r="DZ104">
            <v>0</v>
          </cell>
          <cell r="EA104">
            <v>0</v>
          </cell>
          <cell r="EB104">
            <v>0</v>
          </cell>
          <cell r="EC104">
            <v>0</v>
          </cell>
          <cell r="ED104">
            <v>0</v>
          </cell>
          <cell r="EE104">
            <v>0</v>
          </cell>
          <cell r="EF104">
            <v>0</v>
          </cell>
          <cell r="EG104">
            <v>0</v>
          </cell>
          <cell r="EH104">
            <v>0</v>
          </cell>
          <cell r="GE104" t="str">
            <v>Reimburseable Costs</v>
          </cell>
          <cell r="GF104">
            <v>5838.4615384615381</v>
          </cell>
          <cell r="GG104">
            <v>15467.628205128205</v>
          </cell>
          <cell r="GH104">
            <v>14567.628205128205</v>
          </cell>
          <cell r="GI104">
            <v>14567.628205128205</v>
          </cell>
          <cell r="GJ104">
            <v>15467.628205128205</v>
          </cell>
          <cell r="GK104">
            <v>14567.628205128205</v>
          </cell>
          <cell r="GL104">
            <v>14567.628205128205</v>
          </cell>
          <cell r="GM104">
            <v>15467.628205128205</v>
          </cell>
          <cell r="GN104">
            <v>14567.628205128205</v>
          </cell>
          <cell r="GO104">
            <v>14567.628205128205</v>
          </cell>
          <cell r="GP104">
            <v>14567.628205128205</v>
          </cell>
          <cell r="GQ104">
            <v>15467.628205128205</v>
          </cell>
          <cell r="GR104">
            <v>13467.628205128205</v>
          </cell>
        </row>
        <row r="105">
          <cell r="DU105" t="str">
            <v>Non-Reimburseables</v>
          </cell>
          <cell r="DV105">
            <v>0</v>
          </cell>
          <cell r="DW105">
            <v>0</v>
          </cell>
          <cell r="DX105">
            <v>0</v>
          </cell>
          <cell r="DY105">
            <v>0</v>
          </cell>
          <cell r="DZ105">
            <v>0</v>
          </cell>
          <cell r="EA105">
            <v>0</v>
          </cell>
          <cell r="EB105">
            <v>0</v>
          </cell>
          <cell r="EC105">
            <v>0</v>
          </cell>
          <cell r="ED105">
            <v>0</v>
          </cell>
          <cell r="EE105">
            <v>0</v>
          </cell>
          <cell r="EF105">
            <v>0</v>
          </cell>
          <cell r="EG105">
            <v>0</v>
          </cell>
          <cell r="EH105">
            <v>0</v>
          </cell>
          <cell r="GE105" t="str">
            <v>Non-Reimburseables</v>
          </cell>
          <cell r="GF105">
            <v>0</v>
          </cell>
          <cell r="GG105">
            <v>688.91666666666663</v>
          </cell>
          <cell r="GH105">
            <v>688.91666666666663</v>
          </cell>
          <cell r="GI105">
            <v>688.91666666666663</v>
          </cell>
          <cell r="GJ105">
            <v>688.91666666666663</v>
          </cell>
          <cell r="GK105">
            <v>688.91666666666663</v>
          </cell>
          <cell r="GL105">
            <v>688.91666666666663</v>
          </cell>
          <cell r="GM105">
            <v>688.91666666666663</v>
          </cell>
          <cell r="GN105">
            <v>688.91666666666663</v>
          </cell>
          <cell r="GO105">
            <v>688.91666666666663</v>
          </cell>
          <cell r="GP105">
            <v>688.91666666666663</v>
          </cell>
          <cell r="GQ105">
            <v>688.91666666666663</v>
          </cell>
          <cell r="GR105">
            <v>3188.9166666666665</v>
          </cell>
        </row>
        <row r="106">
          <cell r="DU106">
            <v>0</v>
          </cell>
          <cell r="GE106">
            <v>0</v>
          </cell>
        </row>
        <row r="107">
          <cell r="DU107">
            <v>0</v>
          </cell>
          <cell r="GE107">
            <v>0</v>
          </cell>
        </row>
        <row r="108">
          <cell r="DU108">
            <v>0</v>
          </cell>
          <cell r="GE108">
            <v>0</v>
          </cell>
        </row>
        <row r="109">
          <cell r="DU109">
            <v>0</v>
          </cell>
          <cell r="GE109">
            <v>0</v>
          </cell>
        </row>
        <row r="110">
          <cell r="DU110">
            <v>0</v>
          </cell>
          <cell r="GE110">
            <v>0</v>
          </cell>
        </row>
        <row r="111">
          <cell r="DU111" t="str">
            <v>Allocated Staff Expenses</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GE111" t="str">
            <v>Allocated Staff Expenses</v>
          </cell>
          <cell r="GF111">
            <v>1965.3115374615384</v>
          </cell>
          <cell r="GG111">
            <v>1965.3115374615384</v>
          </cell>
          <cell r="GH111">
            <v>1965.3115374615384</v>
          </cell>
          <cell r="GI111">
            <v>1965.3115374615384</v>
          </cell>
          <cell r="GJ111">
            <v>1965.3115374615384</v>
          </cell>
          <cell r="GK111">
            <v>1965.3115374615384</v>
          </cell>
          <cell r="GL111">
            <v>1965.3115374615384</v>
          </cell>
          <cell r="GM111">
            <v>1965.3115374615384</v>
          </cell>
          <cell r="GN111">
            <v>1965.3115374615384</v>
          </cell>
          <cell r="GO111">
            <v>1965.3115374615384</v>
          </cell>
          <cell r="GP111">
            <v>1965.3115374615384</v>
          </cell>
          <cell r="GQ111">
            <v>1965.3115374615384</v>
          </cell>
          <cell r="GR111">
            <v>1965.3115374615384</v>
          </cell>
        </row>
        <row r="112">
          <cell r="DU112">
            <v>0</v>
          </cell>
          <cell r="GE11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2">
          <cell r="H2" t="str">
            <v>Pick Month</v>
          </cell>
          <cell r="J2" t="str">
            <v>Pick Month</v>
          </cell>
          <cell r="L2" t="str">
            <v>Pick Month</v>
          </cell>
          <cell r="N2" t="str">
            <v>Pick Month</v>
          </cell>
        </row>
        <row r="3">
          <cell r="H3">
            <v>41518</v>
          </cell>
          <cell r="J3">
            <v>41760</v>
          </cell>
          <cell r="L3">
            <v>42979</v>
          </cell>
          <cell r="N3">
            <v>41518</v>
          </cell>
        </row>
        <row r="4">
          <cell r="H4">
            <v>41548</v>
          </cell>
          <cell r="J4">
            <v>41791</v>
          </cell>
          <cell r="L4">
            <v>43009</v>
          </cell>
          <cell r="N4">
            <v>41548</v>
          </cell>
        </row>
        <row r="5">
          <cell r="H5">
            <v>41579</v>
          </cell>
          <cell r="J5">
            <v>41821</v>
          </cell>
          <cell r="L5">
            <v>43040</v>
          </cell>
          <cell r="N5">
            <v>41579</v>
          </cell>
        </row>
        <row r="6">
          <cell r="H6">
            <v>41609</v>
          </cell>
          <cell r="J6">
            <v>41852</v>
          </cell>
          <cell r="L6">
            <v>43070</v>
          </cell>
          <cell r="N6">
            <v>41609</v>
          </cell>
        </row>
        <row r="7">
          <cell r="H7">
            <v>41640</v>
          </cell>
          <cell r="J7">
            <v>41883</v>
          </cell>
          <cell r="L7">
            <v>43101</v>
          </cell>
          <cell r="N7">
            <v>41640</v>
          </cell>
        </row>
        <row r="8">
          <cell r="H8">
            <v>41671</v>
          </cell>
          <cell r="J8">
            <v>41913</v>
          </cell>
          <cell r="L8">
            <v>43132</v>
          </cell>
          <cell r="N8">
            <v>41671</v>
          </cell>
        </row>
        <row r="9">
          <cell r="H9">
            <v>41699</v>
          </cell>
          <cell r="J9">
            <v>41944</v>
          </cell>
          <cell r="L9">
            <v>43160</v>
          </cell>
          <cell r="N9">
            <v>41699</v>
          </cell>
        </row>
        <row r="10">
          <cell r="H10">
            <v>41730</v>
          </cell>
          <cell r="J10">
            <v>41974</v>
          </cell>
          <cell r="L10">
            <v>43191</v>
          </cell>
          <cell r="N10">
            <v>41730</v>
          </cell>
        </row>
        <row r="11">
          <cell r="H11">
            <v>41760</v>
          </cell>
          <cell r="J11">
            <v>42005</v>
          </cell>
          <cell r="L11">
            <v>43221</v>
          </cell>
          <cell r="N11">
            <v>41760</v>
          </cell>
        </row>
        <row r="12">
          <cell r="J12">
            <v>42036</v>
          </cell>
          <cell r="L12">
            <v>43252</v>
          </cell>
          <cell r="N12">
            <v>41791</v>
          </cell>
        </row>
        <row r="13">
          <cell r="J13">
            <v>42064</v>
          </cell>
          <cell r="L13">
            <v>43282</v>
          </cell>
          <cell r="N13">
            <v>41821</v>
          </cell>
        </row>
        <row r="14">
          <cell r="J14">
            <v>42095</v>
          </cell>
          <cell r="L14">
            <v>43313</v>
          </cell>
          <cell r="N14">
            <v>41852</v>
          </cell>
        </row>
        <row r="15">
          <cell r="J15">
            <v>42125</v>
          </cell>
          <cell r="L15">
            <v>43344</v>
          </cell>
          <cell r="N15">
            <v>41883</v>
          </cell>
        </row>
        <row r="16">
          <cell r="J16">
            <v>42156</v>
          </cell>
          <cell r="N16">
            <v>41913</v>
          </cell>
        </row>
        <row r="17">
          <cell r="J17">
            <v>42186</v>
          </cell>
          <cell r="N17">
            <v>41944</v>
          </cell>
        </row>
        <row r="18">
          <cell r="J18">
            <v>42217</v>
          </cell>
          <cell r="N18">
            <v>41974</v>
          </cell>
        </row>
        <row r="19">
          <cell r="J19">
            <v>42248</v>
          </cell>
          <cell r="N19">
            <v>42005</v>
          </cell>
        </row>
        <row r="20">
          <cell r="J20">
            <v>42278</v>
          </cell>
          <cell r="N20">
            <v>42036</v>
          </cell>
        </row>
        <row r="21">
          <cell r="J21">
            <v>42309</v>
          </cell>
          <cell r="N21">
            <v>42064</v>
          </cell>
        </row>
        <row r="22">
          <cell r="J22">
            <v>42339</v>
          </cell>
          <cell r="N22">
            <v>42095</v>
          </cell>
        </row>
        <row r="23">
          <cell r="J23">
            <v>42370</v>
          </cell>
          <cell r="N23">
            <v>42125</v>
          </cell>
        </row>
        <row r="24">
          <cell r="J24">
            <v>42401</v>
          </cell>
          <cell r="N24">
            <v>42156</v>
          </cell>
        </row>
        <row r="25">
          <cell r="J25">
            <v>42430</v>
          </cell>
          <cell r="N25">
            <v>42186</v>
          </cell>
        </row>
        <row r="26">
          <cell r="J26">
            <v>42461</v>
          </cell>
          <cell r="N26">
            <v>42217</v>
          </cell>
        </row>
        <row r="27">
          <cell r="J27">
            <v>42491</v>
          </cell>
          <cell r="N27">
            <v>42248</v>
          </cell>
        </row>
        <row r="28">
          <cell r="J28">
            <v>42522</v>
          </cell>
          <cell r="N28">
            <v>42278</v>
          </cell>
        </row>
        <row r="29">
          <cell r="J29">
            <v>42552</v>
          </cell>
          <cell r="N29">
            <v>42309</v>
          </cell>
        </row>
        <row r="30">
          <cell r="J30">
            <v>42583</v>
          </cell>
          <cell r="N30">
            <v>42339</v>
          </cell>
        </row>
        <row r="31">
          <cell r="J31">
            <v>42614</v>
          </cell>
          <cell r="N31">
            <v>42370</v>
          </cell>
        </row>
        <row r="32">
          <cell r="J32">
            <v>42644</v>
          </cell>
          <cell r="N32">
            <v>42401</v>
          </cell>
        </row>
        <row r="33">
          <cell r="J33">
            <v>42675</v>
          </cell>
          <cell r="N33">
            <v>42430</v>
          </cell>
        </row>
        <row r="34">
          <cell r="J34">
            <v>42705</v>
          </cell>
          <cell r="N34">
            <v>42461</v>
          </cell>
        </row>
        <row r="35">
          <cell r="J35">
            <v>42736</v>
          </cell>
          <cell r="N35">
            <v>42491</v>
          </cell>
        </row>
        <row r="36">
          <cell r="J36">
            <v>42767</v>
          </cell>
          <cell r="N36">
            <v>42522</v>
          </cell>
        </row>
        <row r="37">
          <cell r="J37">
            <v>42795</v>
          </cell>
          <cell r="N37">
            <v>42552</v>
          </cell>
        </row>
        <row r="38">
          <cell r="J38">
            <v>42826</v>
          </cell>
          <cell r="N38">
            <v>42583</v>
          </cell>
        </row>
        <row r="39">
          <cell r="J39">
            <v>42856</v>
          </cell>
          <cell r="N39">
            <v>42614</v>
          </cell>
        </row>
        <row r="40">
          <cell r="J40">
            <v>42887</v>
          </cell>
          <cell r="N40">
            <v>42644</v>
          </cell>
        </row>
        <row r="41">
          <cell r="J41">
            <v>42917</v>
          </cell>
          <cell r="N41">
            <v>42675</v>
          </cell>
        </row>
        <row r="42">
          <cell r="J42">
            <v>42948</v>
          </cell>
          <cell r="N42">
            <v>42705</v>
          </cell>
        </row>
        <row r="43">
          <cell r="J43">
            <v>42979</v>
          </cell>
          <cell r="N43">
            <v>42736</v>
          </cell>
        </row>
        <row r="44">
          <cell r="N44">
            <v>42767</v>
          </cell>
        </row>
        <row r="45">
          <cell r="N45">
            <v>42795</v>
          </cell>
        </row>
        <row r="46">
          <cell r="N46">
            <v>42826</v>
          </cell>
        </row>
        <row r="47">
          <cell r="N47">
            <v>42856</v>
          </cell>
        </row>
        <row r="48">
          <cell r="N48">
            <v>42887</v>
          </cell>
        </row>
        <row r="49">
          <cell r="N49">
            <v>42917</v>
          </cell>
        </row>
        <row r="50">
          <cell r="N50">
            <v>42948</v>
          </cell>
        </row>
        <row r="51">
          <cell r="N51">
            <v>42979</v>
          </cell>
        </row>
        <row r="52">
          <cell r="N52">
            <v>43009</v>
          </cell>
        </row>
        <row r="53">
          <cell r="N53">
            <v>43040</v>
          </cell>
        </row>
        <row r="54">
          <cell r="N54">
            <v>43070</v>
          </cell>
        </row>
        <row r="55">
          <cell r="N55">
            <v>43101</v>
          </cell>
        </row>
        <row r="56">
          <cell r="N56">
            <v>43132</v>
          </cell>
        </row>
        <row r="57">
          <cell r="N57">
            <v>43160</v>
          </cell>
        </row>
        <row r="58">
          <cell r="N58">
            <v>43191</v>
          </cell>
        </row>
        <row r="59">
          <cell r="N59">
            <v>43221</v>
          </cell>
        </row>
        <row r="60">
          <cell r="N60">
            <v>43252</v>
          </cell>
        </row>
        <row r="61">
          <cell r="N61">
            <v>43282</v>
          </cell>
        </row>
        <row r="62">
          <cell r="N62">
            <v>43313</v>
          </cell>
        </row>
        <row r="63">
          <cell r="N63">
            <v>43344</v>
          </cell>
        </row>
      </sheetData>
      <sheetData sheetId="19">
        <row r="3">
          <cell r="CA3" t="str">
            <v>Select Type</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3">
          <cell r="CA3" t="str">
            <v>Select Type</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3">
          <cell r="CA3" t="str">
            <v>Select Type</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B D E H Categories"/>
      <sheetName val="C F G Categories "/>
      <sheetName val="Summary"/>
      <sheetName val="Spreadsheet"/>
      <sheetName val="Lists"/>
      <sheetName val="2.Strategies"/>
      <sheetName val="Sheet3"/>
      <sheetName val="BUDGET NEW"/>
      <sheetName val="Template"/>
      <sheetName val="Sheet2"/>
      <sheetName val="INSTRUCTIONS"/>
      <sheetName val="1. SUMMARY"/>
      <sheetName val="2. PERSONNEL"/>
      <sheetName val="3. NON-PERSONNEL EXPENSES"/>
      <sheetName val="4. SUBAWARDS"/>
      <sheetName val="5. CUMULATIVE BUDGET"/>
      <sheetName val="6. Notes Tab"/>
      <sheetName val="7. Modular Budget"/>
      <sheetName val="Sheet1"/>
      <sheetName val=" Training"/>
      <sheetName val="7. Drop Down Menu Templates"/>
      <sheetName val="Trainings &amp; Meetings"/>
      <sheetName val="1__SUMMARY"/>
      <sheetName val="2__PERSONNEL"/>
      <sheetName val="3__NON-PERSONNEL_EXPENSES"/>
      <sheetName val="4__SUBAWARDS"/>
      <sheetName val="5__CUMULATIVE_BUDGET"/>
      <sheetName val="6__Notes_Tab"/>
      <sheetName val="7__Modular_Budget"/>
      <sheetName val="_Training"/>
      <sheetName val="7__Drop_Down_Menu_Templates"/>
      <sheetName val="Trainings_&amp;_Meetings"/>
      <sheetName val="Dropdown"/>
      <sheetName val="Inputs"/>
      <sheetName val="Summary for CDC"/>
      <sheetName val="Summary for CU RA"/>
      <sheetName val="In-Country"/>
      <sheetName val="NYP&amp;T Linked"/>
      <sheetName val="NYP&amp;T"/>
      <sheetName val="Sub-budget"/>
      <sheetName val="Consultants"/>
      <sheetName val="Subawards"/>
      <sheetName val="Vehicles"/>
      <sheetName val="Base Salary"/>
      <sheetName val="Cost Share"/>
      <sheetName val="Summary_for_CDC"/>
      <sheetName val="Summary_for_CU_RA"/>
      <sheetName val="NYP&amp;T_Linked"/>
      <sheetName val="Base_Salary"/>
      <sheetName val="Cost_Share"/>
      <sheetName val="Aphia+"/>
      <sheetName val="MCAP 5_76531"/>
      <sheetName val="Nyanza(568504)"/>
      <sheetName val="Eastern(576037)"/>
      <sheetName val="EASTERN 576037 Detailed DSR"/>
      <sheetName val="PO's FEB "/>
      <sheetName val="PO's Eastern Transfer"/>
      <sheetName val="PO's Feb"/>
      <sheetName val="PO's to Jan-"/>
      <sheetName val="Commitments"/>
      <sheetName val="Aphia Committments"/>
      <sheetName val="Work Plan"/>
      <sheetName val="COPFunctionalArea"/>
      <sheetName val="BudgetCodes"/>
      <sheetName val="Revised Workplan template (0000"/>
      <sheetName val="Revised%20Workplan%20template%2"/>
      <sheetName val="424"/>
      <sheetName val="424A pg 1"/>
      <sheetName val="424A pg 2"/>
      <sheetName val="Qns&amp;answ"/>
      <sheetName val="Summary Budget"/>
      <sheetName val="Detailed-Deloitte"/>
      <sheetName val="Staff LOE-Deloitte"/>
      <sheetName val="Other rates"/>
      <sheetName val="APS Proposal budget-Deloitte-13"/>
      <sheetName val="Consolidated Budget"/>
      <sheetName val="Printing"/>
      <sheetName val="NY Base Salary"/>
      <sheetName val="Travel Cost Projections"/>
      <sheetName val="Consolidated_Budget"/>
      <sheetName val="NY_Base_Salary"/>
      <sheetName val="Travel_Cost_Projections"/>
      <sheetName val="NY_Base_Salary2"/>
      <sheetName val="Consolidated_Budget2"/>
      <sheetName val="Cost_Share2"/>
      <sheetName val="Travel_Cost_Projections2"/>
      <sheetName val="Consolidated_Budget1"/>
      <sheetName val="NY_Base_Salary1"/>
      <sheetName val="Cost_Share1"/>
      <sheetName val="Travel_Cost_Projections1"/>
      <sheetName val="Unprogrammed Funds Carry-Over B"/>
      <sheetName val="CIHP SUB "/>
      <sheetName val="blank"/>
      <sheetName val="Settings"/>
      <sheetName val="config"/>
      <sheetName val="HOME"/>
      <sheetName val="FIRST AND SECOND 90"/>
      <sheetName val="FirstSecond90Data"/>
      <sheetName val="PARTNERS"/>
      <sheetName val="PARTNERSData"/>
      <sheetName val="PMTCT"/>
      <sheetName val="PMTCTData"/>
      <sheetName val="EID"/>
      <sheetName val="EIDData"/>
      <sheetName val="IMMUNIZATION"/>
      <sheetName val="IMMData"/>
      <sheetName val="TB"/>
      <sheetName val="TBData"/>
      <sheetName val="VL"/>
      <sheetName val="VLData"/>
      <sheetName val="3RD90"/>
      <sheetName val="3RD90Data"/>
      <sheetName val="Dashboard"/>
      <sheetName val="CLS"/>
      <sheetName val="Detailled View"/>
      <sheetName val="Dashboard source"/>
      <sheetName val="SOPs"/>
      <sheetName val="Periods"/>
      <sheetName val="Sites"/>
      <sheetName val="DQC"/>
      <sheetName val="DQC Details"/>
      <sheetName val="Additionnals informations"/>
      <sheetName val="CQI Dashboard V2.2"/>
      <sheetName val="Main Page"/>
      <sheetName val="Sheet_Population_EntryPoint"/>
      <sheetName val="Sheet4"/>
      <sheetName val="PMTCT POST ANC1"/>
      <sheetName val="TB_PREV Weekly"/>
      <sheetName val="TB_PREV Weekly (2)"/>
      <sheetName val="Retention and VL Weekly"/>
      <sheetName val="Continuity of care Weekly"/>
      <sheetName val="VL Weekly"/>
      <sheetName val="Third90"/>
      <sheetName val="Third90 (2)"/>
      <sheetName val="Third90 (3)"/>
      <sheetName val="Third90 (4)"/>
      <sheetName val="Third90_Discut"/>
      <sheetName val="Clinic"/>
      <sheetName val="Sheet37"/>
      <sheetName val="Triage"/>
      <sheetName val="Inpatient"/>
      <sheetName val="Emmegency"/>
      <sheetName val="UPEC"/>
      <sheetName val="community testing"/>
      <sheetName val="TB Unit"/>
      <sheetName val="First and Second 90 (7)"/>
      <sheetName val="First and Second 90 (8)"/>
      <sheetName val="First and Second 90 (9)"/>
      <sheetName val="First and Second 90 (10)"/>
      <sheetName val="First and Second 90 (11)"/>
      <sheetName val="First and Second 90 (12)"/>
      <sheetName val="PMTCT ANC1"/>
      <sheetName val="PMTCT ANC 1 Community "/>
      <sheetName val="PMTCT Post ANC 1 (2,3,4)"/>
      <sheetName val="PMTCT L&amp;D"/>
      <sheetName val="PMTCT BF"/>
      <sheetName val="OLD Index Cases"/>
      <sheetName val="NEW Index Cases"/>
      <sheetName val="Index tested HIV+ This Day"/>
      <sheetName val="Index with HVL Received ThisDay"/>
      <sheetName val="BiologicalParent-OLD IndexCases"/>
      <sheetName val="BiologicalParent-NEW IndexCases"/>
      <sheetName val="BiologicalParent-IndxHIV+ Today"/>
      <sheetName val="BiologicalParent-HVL Received"/>
      <sheetName val="BiologicalChildren-OLD IndexCas"/>
      <sheetName val="BiologicalChildren-NEW IndexCas"/>
      <sheetName val="BiologicalChildren-HIV+ Today"/>
      <sheetName val="BiologicalChildren-Indx withHVL"/>
      <sheetName val="Siblings-OLD Index Cases"/>
      <sheetName val="Siblings-NEW Index Cases"/>
      <sheetName val="Siblings-Index Tested HIV+ This"/>
      <sheetName val="Siblings-Indx with HVL Received"/>
      <sheetName val="SexualContact-OLD Index Cases"/>
      <sheetName val="SexualContact-NEW Index Cases"/>
      <sheetName val="SexualContact-Index Tested HIV+"/>
      <sheetName val="SexualContact-Indx with HVL Rec"/>
      <sheetName val="First and Second 90 (13)"/>
      <sheetName val="First and Second 90 (2)"/>
      <sheetName val="First and Second 90 (3)"/>
      <sheetName val="First and Second 90 (4)"/>
      <sheetName val="First and Second 90 (5)"/>
      <sheetName val="First and Second 90 (6)"/>
      <sheetName val="First and Second 90 (1)"/>
      <sheetName val="Source"/>
      <sheetName val="Daily Monitoring 22.07"/>
      <sheetName val="Indicator Mapping Y2 TX_TBTB_PR"/>
      <sheetName val="Indicator Mapping Y2 4pm"/>
      <sheetName val="Report Card"/>
      <sheetName val="Report Card - Manual"/>
      <sheetName val="Payment Sheet"/>
      <sheetName val="Main"/>
      <sheetName val="PAYEMENT SHEET TESTERS_EAST"/>
      <sheetName val="APS AJUSTED PAYMENTS"/>
      <sheetName val="Payment Sheet Testers"/>
      <sheetName val="Sheet5"/>
      <sheetName val="PaymentSet"/>
      <sheetName val="Interpretation"/>
      <sheetName val="Drop Down Lists"/>
      <sheetName val="Metrics"/>
      <sheetName val="Setup"/>
      <sheetName val="Detailed Budget"/>
      <sheetName val="Data Sheet"/>
      <sheetName val="Admin Sheet"/>
      <sheetName val="Recipient sheet"/>
      <sheetName val="Currencies"/>
      <sheetName val="Translations"/>
      <sheetName val="Budget Summary"/>
      <sheetName val="Budget Summary En"/>
      <sheetName val="Summary by Intervention"/>
      <sheetName val="Summary by Cost Input"/>
      <sheetName val="AdditionalFundingRequestInfo"/>
      <sheetName val="Assumptions HR"/>
      <sheetName val="Assumptions TRC"/>
      <sheetName val="Assumptions Other"/>
      <sheetName val="Free sheet-enter what you need"/>
      <sheetName val="Free pivot table"/>
      <sheetName val="Free pivot table (2)"/>
      <sheetName val="PSM Detailed Budget"/>
      <sheetName val="PSM Detailed Budget."/>
      <sheetName val="PSM Detailed Budget.."/>
      <sheetName val="PSM Cost"/>
      <sheetName val="PSM Cost."/>
      <sheetName val="PSM Cost.."/>
      <sheetName val="Financial Triggers - Budgets"/>
      <sheetName val="Feuil2"/>
      <sheetName val="apttusmetadata"/>
      <sheetName val="CMR-H-MOH_DB_12Oct17_CSGAF_V_du"/>
      <sheetName val="Payment Sheet ADJUSTED (2)"/>
      <sheetName val="Payment Sheet (2)"/>
      <sheetName val="Payment Sheet ADJUSTED"/>
      <sheetName val="page de couverture ACRR COMPL"/>
      <sheetName val="page de couverture ACRR"/>
      <sheetName val="ETAT ACRR Janvier 2019 Final"/>
      <sheetName val="Grille Paiement"/>
      <sheetName val="ETAT DATA NOV 2019 engagement"/>
      <sheetName val="Janvier"/>
      <sheetName val="FEVRIER"/>
      <sheetName val="Mars"/>
      <sheetName val="Avril"/>
      <sheetName val="Mai  "/>
      <sheetName val="Juin "/>
      <sheetName val="Juillet"/>
      <sheetName val="aout"/>
      <sheetName val="Sept"/>
      <sheetName val="Oct"/>
      <sheetName val="Janvier2021"/>
      <sheetName val="Février2021"/>
      <sheetName val="Dec"/>
      <sheetName val="grille de paiement"/>
      <sheetName val="code depot rapport"/>
      <sheetName val="ETAT ACRR NOV 2019 Non GU"/>
      <sheetName val="ETAT ACRRNOVEMBRE 2019 "/>
      <sheetName val="ETAT ACRR FEVRIER 2020  GTR"/>
      <sheetName val="FEVRIER 2020"/>
      <sheetName val="Feuil1"/>
      <sheetName val="PAIEMENTDATA CLERKS JANV 2021 &amp;"/>
      <sheetName val="Facility Staff Topup"/>
      <sheetName val="HD Bafia"/>
      <sheetName val="Saint Martin de Porres"/>
      <sheetName val="CHU"/>
      <sheetName val="Etoug Ebe Baptist Health Center"/>
      <sheetName val="HD Biyem Assi "/>
      <sheetName val="HD Cite Verte"/>
      <sheetName val="Hopital Central de Yaoundé"/>
      <sheetName val="Centre Hospitalier Essos CNPS"/>
      <sheetName val="Hopital Général de Yaoundé "/>
      <sheetName val="HGOPY"/>
      <sheetName val="Hopital Jamot"/>
      <sheetName val="HD Efoulan"/>
      <sheetName val="Hôpital de District d'Obala"/>
      <sheetName val="HD d'Abong-Mbang"/>
      <sheetName val="Hopital Regional de Bertoua"/>
      <sheetName val="Hopital Protestant"/>
      <sheetName val="HD Akonolinga"/>
      <sheetName val="HRA Ayos "/>
      <sheetName val="CME Fondation Chantal Biya"/>
      <sheetName val="CMC Nkolondom"/>
      <sheetName val="CMA MVOG ADA "/>
      <sheetName val="Hopital de District Olembe"/>
      <sheetName val="Hôpital EPC Djoungolo"/>
      <sheetName val="HD Mbalmayo "/>
      <sheetName val="Hopital Saint Luc "/>
      <sheetName val="HD Mfou "/>
      <sheetName val="HD Nanga-Eboko "/>
      <sheetName val="CS Cath. Bikop "/>
      <sheetName val="CMA Nkomo "/>
      <sheetName val="CS Mgr Jean Zoa (CASS Nkoldongo"/>
      <sheetName val="Infirmerie - Prison Centrale "/>
      <sheetName val="Hopital de District de Batouri "/>
      <sheetName val="HD De Yokadouma"/>
      <sheetName val="Cabinet Médical Henri Dunant"/>
      <sheetName val="Centre Medical de la Police "/>
      <sheetName val="Hopital Bethesda "/>
      <sheetName val="CS Communautaire de Ngousso "/>
      <sheetName val="CLINIQUE BASTOS "/>
      <sheetName val="CMA ELIG ESSONO "/>
      <sheetName val="Hopes Services Clinic "/>
      <sheetName val="CSC Mvolye "/>
      <sheetName val="HD Eseka "/>
      <sheetName val="HD Monatélé "/>
      <sheetName val="HD de Ndikinimeki "/>
      <sheetName val="CSC Nicolas Barre "/>
      <sheetName val="HD de Nkolndongo "/>
      <sheetName val="HD de Ntui "/>
      <sheetName val="HD de Sa'a "/>
      <sheetName val="HDSoa "/>
      <sheetName val="CHC Batouri"/>
      <sheetName val="CMA Belabo "/>
      <sheetName val="HD Betare-Oya "/>
      <sheetName val="HD Doume "/>
      <sheetName val="HD de Garoua-Boulai "/>
      <sheetName val="HD Lomie "/>
      <sheetName val="HD Messamena "/>
      <sheetName val="CMA Kentzou "/>
      <sheetName val="HD Nguelemendouka "/>
      <sheetName val="CSC Mont Calvaire "/>
      <sheetName val="Centre Medical Marie Reine Etou"/>
      <sheetName val="Hopital Catholique Deo Gracias "/>
      <sheetName val="CMA Ahala "/>
      <sheetName val="HD Ngog Mapubi "/>
      <sheetName val="HD Ngoumou "/>
      <sheetName val="HD Nkolbisson "/>
      <sheetName val="CMA Odza "/>
      <sheetName val="Hôpital Ad Lucem D'Efok "/>
      <sheetName val="HD Okola "/>
      <sheetName val="CSI Mokolo I "/>
      <sheetName val="HD de Kette "/>
      <sheetName val="Centre Médico sociale de la SF"/>
      <sheetName val="Hôpital Catholique Salapoumbe "/>
      <sheetName val="Introduction"/>
      <sheetName val="Process Definitions"/>
      <sheetName val="Packaging Definitions"/>
      <sheetName val="Utilities Definitions "/>
      <sheetName val="Sales &amp; Overall Capacities"/>
      <sheetName val="Recipes"/>
      <sheetName val="Plant assumptions"/>
      <sheetName val="Calculations"/>
      <sheetName val="Process_Definitions"/>
      <sheetName val="Packaging_Definitions"/>
      <sheetName val="Utilities_Definitions_"/>
      <sheetName val="Sales_&amp;_Overall_Capacities"/>
      <sheetName val="Plant_assumptions"/>
      <sheetName val="AFRICA_OTH_temp"/>
      <sheetName val="LINEBYLINE_temp"/>
      <sheetName val="Actuals_SOM"/>
      <sheetName val="BcoDados"/>
      <sheetName val="Bonus"/>
      <sheetName val="CAMEROON_temp"/>
      <sheetName val="Club_&amp;_Car"/>
      <sheetName val="Adaytum-Data"/>
      <sheetName val="SEYCHELLES_temp"/>
      <sheetName val="Constants"/>
      <sheetName val="GHANA_temp"/>
      <sheetName val="NIGERIA_temp"/>
      <sheetName val="EAST_AFRICA_temp"/>
      <sheetName val="Loan"/>
      <sheetName val="pplay_load"/>
      <sheetName val="REPORT_temp"/>
      <sheetName val="September"/>
      <sheetName val="Target_SOM"/>
      <sheetName val="BEACH"/>
      <sheetName val="YTD"/>
      <sheetName val="Process_Definitions2"/>
      <sheetName val="Packaging_Definitions2"/>
      <sheetName val="Utilities_Definitions_2"/>
      <sheetName val="Sales_&amp;_Overall_Capacities2"/>
      <sheetName val="Plant_assumptions2"/>
      <sheetName val="Process_Definitions1"/>
      <sheetName val="Packaging_Definitions1"/>
      <sheetName val="Utilities_Definitions_1"/>
      <sheetName val="Sales_&amp;_Overall_Capacities1"/>
      <sheetName val="Plant_assumptions1"/>
      <sheetName val="Process_Definitions3"/>
      <sheetName val="Packaging_Definitions3"/>
      <sheetName val="Utilities_Definitions_3"/>
      <sheetName val="Sales_&amp;_Overall_Capacities3"/>
      <sheetName val="Plant_assumptions3"/>
      <sheetName val="Process_Definitions4"/>
      <sheetName val="Packaging_Definitions4"/>
      <sheetName val="Utilities_Definitions_4"/>
      <sheetName val="Sales_&amp;_Overall_Capacities4"/>
      <sheetName val="Plant_assumptions4"/>
      <sheetName val="Brands"/>
      <sheetName val="Validation"/>
      <sheetName val="Customer Mapping"/>
      <sheetName val="references"/>
      <sheetName val="Sales_&amp;_Overall_Capaci塅䕃⹌塅"/>
      <sheetName val="DOM Outlook"/>
      <sheetName val="Lookup Tables"/>
      <sheetName val="Period"/>
      <sheetName val="BFC code"/>
      <sheetName val="Validation "/>
      <sheetName val=""/>
      <sheetName val="Old submissions"/>
      <sheetName val="Process_Definitions5"/>
      <sheetName val="Packaging_Definitions5"/>
      <sheetName val="Utilities_Definitions_5"/>
      <sheetName val="Sales_&amp;_Overall_Capacities5"/>
      <sheetName val="Plant_assumptions5"/>
      <sheetName val="Customer_Mapping"/>
      <sheetName val="DOM_Outlook"/>
      <sheetName val="Lookup_Tables"/>
      <sheetName val="BFC_code"/>
      <sheetName val="Validation_"/>
      <sheetName val="Old_submissions"/>
      <sheetName val="FinStat (No Input)"/>
      <sheetName val="WHT Remittances"/>
      <sheetName val="OLDFILE"/>
      <sheetName val="NEWFILE"/>
      <sheetName val="Cover"/>
      <sheetName val="prodprof 1"/>
      <sheetName val="Overview"/>
      <sheetName val="2001"/>
      <sheetName val="Sept analysis"/>
      <sheetName val="SATZ GM"/>
      <sheetName val="GH GM"/>
      <sheetName val="MALTA"/>
      <sheetName val="FES PM"/>
      <sheetName val="SPARK"/>
      <sheetName val="SUPERMONT"/>
      <sheetName val="SUPERMONT P"/>
      <sheetName val="FES GM"/>
      <sheetName val="Process_Definitions6"/>
      <sheetName val="Packaging_Definitions6"/>
      <sheetName val="Utilities_Definitions_6"/>
      <sheetName val="Sales_&amp;_Overall_Capacities6"/>
      <sheetName val="Plant_assumptions6"/>
      <sheetName val="Customer_Mapping1"/>
      <sheetName val="DOM_Outlook1"/>
      <sheetName val="Lookup_Tables1"/>
      <sheetName val="BFC_code1"/>
      <sheetName val="Validation_1"/>
      <sheetName val="Old_submissions1"/>
      <sheetName val="Sept_analysis"/>
      <sheetName val="SATZ_GM"/>
      <sheetName val="GH_GM"/>
      <sheetName val="FES_PM"/>
      <sheetName val="SUPERMONT_P"/>
      <sheetName val="FES_GM"/>
      <sheetName val="PROYECTADO DE COSTOS TDJ 100%"/>
      <sheetName val="Drop down list"/>
      <sheetName val="은행"/>
      <sheetName val="MATs"/>
      <sheetName val="1997 Cases"/>
      <sheetName val="1998 Cases"/>
      <sheetName val="1999 Cases"/>
      <sheetName val="Stock In Trans"/>
      <sheetName val="#REF"/>
      <sheetName val="Valor Actual 2002"/>
      <sheetName val="Actuals SOM"/>
      <sheetName val="Last Year"/>
      <sheetName val="Budget"/>
      <sheetName val="Vtas2000"/>
      <sheetName val="Rangos"/>
      <sheetName val="Liquidacion Julio 2002"/>
      <sheetName val="Data"/>
      <sheetName val="DATE"/>
      <sheetName val="TABLA"/>
      <sheetName val="Tablas"/>
      <sheetName val="Control"/>
      <sheetName val="Datos"/>
      <sheetName val="icos0502"/>
      <sheetName val="0-100"/>
      <sheetName val="CashFlow"/>
      <sheetName val="Caixas"/>
      <sheetName val="Price and Volume"/>
      <sheetName val="month look up"/>
      <sheetName val="Targets"/>
      <sheetName val="p2Overheads"/>
      <sheetName val="p2Teamup"/>
      <sheetName val="Pivot"/>
      <sheetName val="Name Match"/>
      <sheetName val="pplay load"/>
      <sheetName val="Shipments Rec'd"/>
      <sheetName val="Stock Balance"/>
      <sheetName val="Target SOM"/>
      <sheetName val="tabla fcst unid"/>
      <sheetName val="Diageo Capacity Model - Draft"/>
      <sheetName val="B"/>
      <sheetName val="C"/>
      <sheetName val="D"/>
      <sheetName val="E"/>
      <sheetName val="F"/>
      <sheetName val="G"/>
      <sheetName val="H"/>
      <sheetName val="I"/>
      <sheetName val="J"/>
      <sheetName val="K"/>
      <sheetName val="L"/>
      <sheetName val="M"/>
      <sheetName val="O"/>
      <sheetName val="P"/>
      <sheetName val="Q"/>
      <sheetName val="R"/>
      <sheetName val="S"/>
      <sheetName val="T"/>
      <sheetName val="U"/>
      <sheetName val="FLEET"/>
      <sheetName val="App 5-2"/>
      <sheetName val="App_5-2"/>
      <sheetName val="COGP tracker-YTD"/>
      <sheetName val="PROD°"/>
      <sheetName val="budget f'05 fixed cost2"/>
      <sheetName val="COGP_tracker-YTD"/>
      <sheetName val="budget_f'05_fixed_cost2"/>
      <sheetName val="App_5-21"/>
      <sheetName val="COGP_tracker-YTD1"/>
      <sheetName val="budget_f'05_fixed_cost21"/>
      <sheetName val="Mar05 final"/>
      <sheetName val="GUINNESS GM"/>
      <sheetName val="GUINNESS PM"/>
      <sheetName val="GOLD HARP "/>
      <sheetName val="SATZENBRAU"/>
      <sheetName val="GORDON SPARK"/>
      <sheetName val="GUINNESS SMOOTH"/>
      <sheetName val="GROWTH RATE"/>
      <sheetName val="Week1"/>
      <sheetName val="Week2"/>
      <sheetName val="Week3"/>
      <sheetName val="Week4"/>
      <sheetName val="Week5"/>
      <sheetName val="GUINNESS_GM"/>
      <sheetName val="GUINNESS_PM"/>
      <sheetName val="GOLD_HARP_"/>
      <sheetName val="GORDON_SPARK"/>
      <sheetName val="GUINNESS_SMOOTH"/>
      <sheetName val="GROWTH_RATE"/>
      <sheetName val="GUINNESS_GM1"/>
      <sheetName val="GUINNESS_PM1"/>
      <sheetName val="GOLD_HARP_1"/>
      <sheetName val="GORDON_SPARK1"/>
      <sheetName val="GUINNESS_SMOOTH1"/>
      <sheetName val="GROWTH_RATE1"/>
      <sheetName val="GUINNESS_GM2"/>
      <sheetName val="GUINNESS_PM2"/>
      <sheetName val="GOLD_HARP_2"/>
      <sheetName val="GORDON_SPARK2"/>
      <sheetName val="GUINNESS_SMOOTH2"/>
      <sheetName val="GROWTH_RATE2"/>
      <sheetName val="MAJREP"/>
      <sheetName val="A"/>
      <sheetName val="Lagos 01"/>
      <sheetName val="Lagos 02"/>
      <sheetName val="Lagos 03"/>
      <sheetName val="Lagos 04"/>
      <sheetName val="Lagos 05"/>
      <sheetName val="Lagos 06"/>
      <sheetName val="Jul-99(1)"/>
      <sheetName val="GRAPHS"/>
      <sheetName val="GUINNESS_GM3"/>
      <sheetName val="GUINNESS_PM3"/>
      <sheetName val="GOLD_HARP_3"/>
      <sheetName val="GORDON_SPARK3"/>
      <sheetName val="GUINNESS_SMOOTH3"/>
      <sheetName val="GROWTH_RATE3"/>
      <sheetName val="SALES PLANING 2"/>
      <sheetName val="SEGMENTACION"/>
      <sheetName val="GUINNESS_GM4"/>
      <sheetName val="GUINNESS_PM4"/>
      <sheetName val="GOLD_HARP_4"/>
      <sheetName val="GORDON_SPARK4"/>
      <sheetName val="GUINNESS_SMOOTH4"/>
      <sheetName val="GROWTH_RATE4"/>
      <sheetName val="SALES_PLANING_2"/>
      <sheetName val="On-Off Trade final distribution"/>
      <sheetName val="GUINNESS_GM5"/>
      <sheetName val="GUINNESS_PM5"/>
      <sheetName val="GOLD_HARP_5"/>
      <sheetName val="GORDON_SPARK5"/>
      <sheetName val="GUINNESS_SMOOTH5"/>
      <sheetName val="GROWTH_RATE5"/>
      <sheetName val="COGP_tracker-YTD2"/>
      <sheetName val="SALES_PLANING_21"/>
      <sheetName val="On-Off_Trade_final_distribution"/>
      <sheetName val="SAP Payment terms"/>
      <sheetName val="source meeting"/>
      <sheetName val="GUINNESS_GM6"/>
      <sheetName val="GUINNESS_PM6"/>
      <sheetName val="GOLD_HARP_6"/>
      <sheetName val="GORDON_SPARK6"/>
      <sheetName val="GUINNESS_SMOOTH6"/>
      <sheetName val="GROWTH_RATE6"/>
      <sheetName val="COGP_tracker-YTD3"/>
      <sheetName val="DOM_Outlook2"/>
      <sheetName val="SALES_PLANING_22"/>
      <sheetName val="Lookup_Tables2"/>
      <sheetName val="On-Off_Trade_final_distributio1"/>
      <sheetName val="SAP_Payment_terms"/>
      <sheetName val="source_meeting"/>
      <sheetName val="Valor_Actual_2002"/>
      <sheetName val="Category Mapping"/>
      <sheetName val="Lists "/>
      <sheetName val="Working Sheet"/>
      <sheetName val="Drop down"/>
      <sheetName val="FX Rates"/>
      <sheetName val="INPUT"/>
      <sheetName val="GM GEARING"/>
      <sheetName val="Country Mapping"/>
      <sheetName val="Incoterms"/>
      <sheetName val="Sheet15"/>
      <sheetName val="PDS1"/>
      <sheetName val="PDS2"/>
      <sheetName val="STORM (2)"/>
      <sheetName val="STORM (3)"/>
      <sheetName val="PROD° (2)"/>
      <sheetName val="PROD° (3)"/>
      <sheetName val="GH PM"/>
      <sheetName val="MG Export"/>
      <sheetName val="GEMINI"/>
      <sheetName val="STOCKS"/>
      <sheetName val="STORM_(2)"/>
      <sheetName val="STORM_(3)"/>
      <sheetName val="PROD°_(2)"/>
      <sheetName val="PROD°_(3)"/>
      <sheetName val="GH_PM"/>
      <sheetName val="MG_Export"/>
      <sheetName val="FES_GM2"/>
      <sheetName val="FES_PM2"/>
      <sheetName val="STORM_(2)2"/>
      <sheetName val="STORM_(3)2"/>
      <sheetName val="GH_GM2"/>
      <sheetName val="SATZ_GM2"/>
      <sheetName val="PROD°_(2)2"/>
      <sheetName val="PROD°_(3)2"/>
      <sheetName val="GH_PM2"/>
      <sheetName val="MG_Export2"/>
      <sheetName val="SUPERMONT_P2"/>
      <sheetName val="FES_GM1"/>
      <sheetName val="FES_PM1"/>
      <sheetName val="STORM_(2)1"/>
      <sheetName val="STORM_(3)1"/>
      <sheetName val="GH_GM1"/>
      <sheetName val="SATZ_GM1"/>
      <sheetName val="PROD°_(2)1"/>
      <sheetName val="PROD°_(3)1"/>
      <sheetName val="GH_PM1"/>
      <sheetName val="MG_Export1"/>
      <sheetName val="SUPERMONT_P1"/>
      <sheetName val="FES_GM3"/>
      <sheetName val="FES_PM3"/>
      <sheetName val="STORM_(2)3"/>
      <sheetName val="STORM_(3)3"/>
      <sheetName val="GH_GM3"/>
      <sheetName val="SATZ_GM3"/>
      <sheetName val="PROD°_(2)3"/>
      <sheetName val="PROD°_(3)3"/>
      <sheetName val="GH_PM3"/>
      <sheetName val="MG_Export3"/>
      <sheetName val="SUPERMONT_P3"/>
      <sheetName val="fpss03-04"/>
      <sheetName val="FES_GM4"/>
      <sheetName val="FES_PM4"/>
      <sheetName val="STORM_(2)4"/>
      <sheetName val="STORM_(3)4"/>
      <sheetName val="GH_GM4"/>
      <sheetName val="SATZ_GM4"/>
      <sheetName val="PROD°_(2)4"/>
      <sheetName val="PROD°_(3)4"/>
      <sheetName val="GH_PM4"/>
      <sheetName val="MG_Export4"/>
      <sheetName val="SUPERMONT_P4"/>
      <sheetName val="FES_GM5"/>
      <sheetName val="FES_GM6"/>
      <sheetName val="FES_PM5"/>
      <sheetName val="STORM_(2)5"/>
      <sheetName val="STORM_(3)5"/>
      <sheetName val="GH_GM5"/>
      <sheetName val="SATZ_GM5"/>
      <sheetName val="PROD°_(2)5"/>
      <sheetName val="PROD°_(3)5"/>
      <sheetName val="GH_PM5"/>
      <sheetName val="MG_Export5"/>
      <sheetName val="SUPERMONT_P5"/>
      <sheetName val="FES_GM7"/>
      <sheetName val="FES_PM6"/>
      <sheetName val="STORM_(2)6"/>
      <sheetName val="STORM_(3)6"/>
      <sheetName val="GH_GM6"/>
      <sheetName val="SATZ_GM6"/>
      <sheetName val="PROD°_(2)6"/>
      <sheetName val="PROD°_(3)6"/>
      <sheetName val="GH_PM6"/>
      <sheetName val="MG_Export6"/>
      <sheetName val="SUPERMONT_P6"/>
      <sheetName val="FES_GM8"/>
      <sheetName val="FES_PM7"/>
      <sheetName val="STORM_(2)7"/>
      <sheetName val="STORM_(3)7"/>
      <sheetName val="GH_GM7"/>
      <sheetName val="SATZ_GM7"/>
      <sheetName val="PROD°_(2)7"/>
      <sheetName val="PROD°_(3)7"/>
      <sheetName val="GH_PM7"/>
      <sheetName val="MG_Export7"/>
      <sheetName val="SUPERMONT_P7"/>
      <sheetName val="GUINNESS_PM7"/>
      <sheetName val="GUINNESS_GM7"/>
      <sheetName val="COGP_tracker-YTD4"/>
      <sheetName val="PROYECTADO_DE_COSTOS_TDJ_100%"/>
      <sheetName val="Mapeos"/>
      <sheetName val="130-UNIDADES"/>
      <sheetName val="FlowPlan TV &amp; Radio-ANGOLA"/>
      <sheetName val="INVESTMENT SUMMARY-ANGOLA"/>
      <sheetName val="Outlet_Master"/>
      <sheetName val="Activity Master"/>
      <sheetName val="FRECEFECBAILEYS"/>
      <sheetName val="MDL-1"/>
      <sheetName val="TV 30&quot; BP"/>
      <sheetName val="FES_GM9"/>
      <sheetName val="FES_PM8"/>
      <sheetName val="STORM_(2)8"/>
      <sheetName val="STORM_(3)8"/>
      <sheetName val="GH_GM8"/>
      <sheetName val="SATZ_GM8"/>
      <sheetName val="PROD°_(2)8"/>
      <sheetName val="PROD°_(3)8"/>
      <sheetName val="GH_PM8"/>
      <sheetName val="MG_Export8"/>
      <sheetName val="SUPERMONT_P8"/>
      <sheetName val="GUINNESS_PM8"/>
      <sheetName val="GUINNESS_GM8"/>
      <sheetName val="COGP_tracker-YTD5"/>
      <sheetName val="PROYECTADO_DE_COSTOS_TDJ_100%1"/>
      <sheetName val="FlowPlan_TV_&amp;_Radio-ANGOLA"/>
      <sheetName val="INVESTMENT_SUMMARY-ANGOLA"/>
      <sheetName val="Activity_Master"/>
      <sheetName val="TV_30&quot;_BP"/>
      <sheetName val="FES_GM10"/>
      <sheetName val="FES_PM9"/>
      <sheetName val="STORM_(2)9"/>
      <sheetName val="STORM_(3)9"/>
      <sheetName val="GH_GM9"/>
      <sheetName val="SATZ_GM9"/>
      <sheetName val="PROD°_(2)9"/>
      <sheetName val="PROD°_(3)9"/>
      <sheetName val="GH_PM9"/>
      <sheetName val="MG_Export9"/>
      <sheetName val="SUPERMONT_P9"/>
      <sheetName val="GUINNESS_PM9"/>
      <sheetName val="GUINNESS_GM9"/>
      <sheetName val="COGP_tracker-YTD6"/>
      <sheetName val="PROYECTADO_DE_COSTOS_TDJ_100%2"/>
      <sheetName val="FlowPlan_TV_&amp;_Radio-ANGOLA1"/>
      <sheetName val="INVESTMENT_SUMMARY-ANGOLA1"/>
      <sheetName val="Activity_Master1"/>
      <sheetName val="TV_30&quot;_BP1"/>
      <sheetName val="FES_GM11"/>
      <sheetName val="FES_PM10"/>
      <sheetName val="STORM_(2)10"/>
      <sheetName val="STORM_(3)10"/>
      <sheetName val="GH_GM10"/>
      <sheetName val="SATZ_GM10"/>
      <sheetName val="PROD°_(2)10"/>
      <sheetName val="PROD°_(3)10"/>
      <sheetName val="GH_PM10"/>
      <sheetName val="MG_Export10"/>
      <sheetName val="SUPERMONT_P10"/>
      <sheetName val="GUINNESS_PM10"/>
      <sheetName val="GUINNESS_GM10"/>
      <sheetName val="COGP_tracker-YTD7"/>
      <sheetName val="PROYECTADO_DE_COSTOS_TDJ_100%3"/>
      <sheetName val="FlowPlan_TV_&amp;_Radio-ANGOLA2"/>
      <sheetName val="INVESTMENT_SUMMARY-ANGOLA2"/>
      <sheetName val="Activity_Master2"/>
      <sheetName val="TV_30&quot;_BP2"/>
      <sheetName val="Electrical HV-LV CEARSUM"/>
      <sheetName val="Analysis Sheet1 "/>
      <sheetName val="Landed Cost"/>
      <sheetName val="Electrcial Upgrade"/>
      <sheetName val="Electrical_HV-LV_CEARSUM"/>
      <sheetName val="Analysis_Sheet1_"/>
      <sheetName val="Landed_Cost"/>
      <sheetName val="Electrcial_Upgrade"/>
      <sheetName val="Electrical_HV-LV_CEARSUM2"/>
      <sheetName val="Analysis_Sheet1_2"/>
      <sheetName val="Landed_Cost2"/>
      <sheetName val="Electrcial_Upgrade2"/>
      <sheetName val="Electrical_HV-LV_CEARSUM1"/>
      <sheetName val="Analysis_Sheet1_1"/>
      <sheetName val="Landed_Cost1"/>
      <sheetName val="Electrcial_Upgrade1"/>
      <sheetName val="Electrical_HV-LV_CEARSUM3"/>
      <sheetName val="Analysis_Sheet1_3"/>
      <sheetName val="Landed_Cost3"/>
      <sheetName val="Electrcial_Upgrade3"/>
      <sheetName val="GCSA ELECTRICAL HV-LV CEAR-Fina"/>
      <sheetName val="Electrical_HV-LV_CEARSUM4"/>
      <sheetName val="Analysis_Sheet1_4"/>
      <sheetName val="Landed_Cost4"/>
      <sheetName val="Electrcial_Upgrade4"/>
      <sheetName val="Electrical_HV-LV_CEARSUM5"/>
      <sheetName val="Analysis_Sheet1_5"/>
      <sheetName val="Landed_Cost5"/>
      <sheetName val="Electrcial_Upgrade5"/>
      <sheetName val="GCSA_ELECTRICAL_HV-LV_CEAR-Fina"/>
      <sheetName val="Ventas Altipal"/>
      <sheetName val="Electrical_HV-LV_CEARSUM6"/>
      <sheetName val="Analysis_Sheet1_6"/>
      <sheetName val="Landed_Cost6"/>
      <sheetName val="Electrcial_Upgrade6"/>
      <sheetName val="GCSA_ELECTRICAL_HV-LV_CEAR-Fin1"/>
      <sheetName val="Ventas_Altipal"/>
      <sheetName val="Electrical_HV-LV_CEARSUM7"/>
      <sheetName val="Analysis_Sheet1_7"/>
      <sheetName val="Landed_Cost7"/>
      <sheetName val="Electrcial_Upgrade7"/>
      <sheetName val="GCSA_ELECTRICAL_HV-LV_CEAR-Fin2"/>
      <sheetName val="Ventas_Altipal1"/>
      <sheetName val="PERFBONU"/>
      <sheetName val="parameter"/>
      <sheetName val="7 (2)"/>
      <sheetName val="Ventas_Altipal2"/>
      <sheetName val="FY16 BEER "/>
      <sheetName val="KBL Volume"/>
      <sheetName val="Beer Summary"/>
      <sheetName val="FY16 SPIRITS "/>
      <sheetName val="UDV Volume"/>
      <sheetName val="Spirits summary"/>
      <sheetName val="Bluesky value summary"/>
      <sheetName val="Pot of money"/>
      <sheetName val="Trade terms proposal"/>
      <sheetName val="Trade terms proposal -best case"/>
      <sheetName val="Value Chain_Beer new"/>
      <sheetName val="Value Chain_Beer new THT"/>
      <sheetName val="UDV Price_Increase_Mainstream"/>
      <sheetName val="UDV Price_THT"/>
      <sheetName val="bluesky expectations "/>
      <sheetName val="Electrical_HV-LV_CEARSUM8"/>
      <sheetName val="Analysis_Sheet1_8"/>
      <sheetName val="Landed_Cost8"/>
      <sheetName val="Electrcial_Upgrade8"/>
      <sheetName val="GCSA_ELECTRICAL_HV-LV_CEAR-Fin3"/>
      <sheetName val="Ventas_Altipal3"/>
      <sheetName val="7_(2)"/>
      <sheetName val="FY16_BEER_"/>
      <sheetName val="KBL_Volume"/>
      <sheetName val="Beer_Summary"/>
      <sheetName val="FY16_SPIRITS_"/>
      <sheetName val="UDV_Volume"/>
      <sheetName val="Spirits_summary"/>
      <sheetName val="Bluesky_value_summary"/>
      <sheetName val="Pot_of_money"/>
      <sheetName val="Trade_terms_proposal"/>
      <sheetName val="Trade_terms_proposal_-best_case"/>
      <sheetName val="Value_Chain_Beer_new"/>
      <sheetName val="Value_Chain_Beer_new_THT"/>
      <sheetName val="UDV_Price_Increase_Mainstream"/>
      <sheetName val="UDV_Price_THT"/>
      <sheetName val="bluesky_expectations_"/>
      <sheetName val="Electrical_HV-LV_CEARSUM9"/>
      <sheetName val="Analysis_Sheet1_9"/>
      <sheetName val="Landed_Cost9"/>
      <sheetName val="Electrcial_Upgrade9"/>
      <sheetName val="GCSA_ELECTRICAL_HV-LV_CEAR-Fin4"/>
      <sheetName val="Ventas_Altipal4"/>
      <sheetName val="7_(2)1"/>
      <sheetName val="FY16_BEER_1"/>
      <sheetName val="KBL_Volume1"/>
      <sheetName val="Beer_Summary1"/>
      <sheetName val="FY16_SPIRITS_1"/>
      <sheetName val="UDV_Volume1"/>
      <sheetName val="Spirits_summary1"/>
      <sheetName val="Bluesky_value_summary1"/>
      <sheetName val="Pot_of_money1"/>
      <sheetName val="Trade_terms_proposal1"/>
      <sheetName val="Trade_terms_proposal_-best_cas1"/>
      <sheetName val="Value_Chain_Beer_new1"/>
      <sheetName val="Value_Chain_Beer_new_THT1"/>
      <sheetName val="UDV_Price_Increase_Mainstream1"/>
      <sheetName val="UDV_Price_THT1"/>
      <sheetName val="bluesky_expectations_1"/>
      <sheetName val="Electrical_HV-LV_CEARSUM10"/>
      <sheetName val="Analysis_Sheet1_10"/>
      <sheetName val="Landed_Cost10"/>
      <sheetName val="Electrcial_Upgrade10"/>
      <sheetName val="GCSA_ELECTRICAL_HV-LV_CEAR-Fin5"/>
      <sheetName val="Ventas_Altipal5"/>
      <sheetName val="7_(2)2"/>
      <sheetName val="FY16_BEER_2"/>
      <sheetName val="KBL_Volume2"/>
      <sheetName val="Beer_Summary2"/>
      <sheetName val="FY16_SPIRITS_2"/>
      <sheetName val="UDV_Volume2"/>
      <sheetName val="Spirits_summary2"/>
      <sheetName val="Bluesky_value_summary2"/>
      <sheetName val="Pot_of_money2"/>
      <sheetName val="Trade_terms_proposal2"/>
      <sheetName val="Trade_terms_proposal_-best_cas2"/>
      <sheetName val="Value_Chain_Beer_new2"/>
      <sheetName val="Value_Chain_Beer_new_THT2"/>
      <sheetName val="UDV_Price_Increase_Mainstream2"/>
      <sheetName val="UDV_Price_THT2"/>
      <sheetName val="bluesky_expectations_2"/>
      <sheetName val="Med-Compjune 08"/>
      <sheetName val="DETAILED SUMMARY"/>
      <sheetName val="jan'04"/>
      <sheetName val="Accounts Receivables - 31-01-20"/>
      <sheetName val="gc"/>
      <sheetName val="Z Graph"/>
      <sheetName val="DETAILED_SUMMARY"/>
      <sheetName val="Accounts_Receivables_-_31-01-20"/>
      <sheetName val="Z_Graph"/>
      <sheetName val="DETAILED_SUMMARY1"/>
      <sheetName val="Accounts_Receivables_-_31-01-21"/>
      <sheetName val="Z_Graph1"/>
      <sheetName val="EXPAT"/>
      <sheetName val="LOCAL"/>
      <sheetName val="Bass_Curve_Calibration"/>
      <sheetName val="Scenarios"/>
      <sheetName val="Budget_Info"/>
      <sheetName val="Control_Sheet"/>
      <sheetName val="company"/>
      <sheetName val="Penetration_Curve"/>
      <sheetName val="Parameters"/>
      <sheetName val="Opex_2005"/>
      <sheetName val="KFI"/>
      <sheetName val="Assumptions"/>
      <sheetName val="cover_page"/>
      <sheetName val="SEP-96"/>
      <sheetName val="M_T"/>
      <sheetName val="Supplier_Info"/>
      <sheetName val="EXPATRIATE_STAFF"/>
      <sheetName val="TAX_8(b)_(ii)"/>
      <sheetName val="Jan_2000_-_Scr1"/>
      <sheetName val="McKAnalyst"/>
      <sheetName val="Regulations"/>
      <sheetName val="P&amp;L (annual scenario)"/>
      <sheetName val="P&amp;L (Scenario)"/>
      <sheetName val="P&amp;L_(annual_scenario)"/>
      <sheetName val="P&amp;L_(Scenario)"/>
      <sheetName val="CC_30TH_SEPT"/>
      <sheetName val="PAYE EXPAT"/>
      <sheetName val="Jan 2000 - Scr1"/>
      <sheetName val="P&amp;L_(annual_scenario)1"/>
      <sheetName val="P&amp;L_(Scenario)1"/>
      <sheetName val="P&amp;L_(annual_scenario)2"/>
      <sheetName val="P&amp;L_(Scenario)2"/>
      <sheetName val="NOV"/>
      <sheetName val="P&amp;L_(annual_scenario)3"/>
      <sheetName val="P&amp;L_(Scenario)3"/>
      <sheetName val="feb"/>
      <sheetName val="P&amp;L_(annual_scenario)4"/>
      <sheetName val="P&amp;L_(Scenario)4"/>
      <sheetName val="P&amp;L_(annual_scenario)5"/>
      <sheetName val="P&amp;L_(Scenario)5"/>
      <sheetName val="P&amp;L_(annual_scenario)6"/>
      <sheetName val="P&amp;L_(Scenario)6"/>
      <sheetName val="Tax MI rates"/>
      <sheetName val="Revenue 2"/>
      <sheetName val="Sheet10"/>
      <sheetName val="P&amp;L_(annual_scenario)7"/>
      <sheetName val="P&amp;L_(Scenario)7"/>
      <sheetName val="PAYE_EXPAT"/>
      <sheetName val="Jan_2000_-_Scr11"/>
      <sheetName val="Tax_MI_rates"/>
      <sheetName val="Revenue_2"/>
      <sheetName val="P&amp;L_(annual_scenario)8"/>
      <sheetName val="P&amp;L_(Scenario)8"/>
      <sheetName val="PAYE_EXPAT1"/>
      <sheetName val="Jan_2000_-_Scr12"/>
      <sheetName val="Tax_MI_rates1"/>
      <sheetName val="Revenue_21"/>
      <sheetName val="P&amp;L_(annual_scenario)9"/>
      <sheetName val="P&amp;L_(Scenario)9"/>
      <sheetName val="PAYE_EXPAT2"/>
      <sheetName val="Jan_2000_-_Scr13"/>
      <sheetName val="Tax_MI_rates2"/>
      <sheetName val="P&amp;L_(annual_scenario)10"/>
      <sheetName val="P&amp;L_(Scenario)10"/>
      <sheetName val="PAYE_EXPAT3"/>
      <sheetName val="Jan_2000_-_Scr14"/>
      <sheetName val="Tax_MI_rates3"/>
      <sheetName val="Revenue_22"/>
      <sheetName val="INVOICE NON-ROUTINE AUG 2007"/>
      <sheetName val="P&amp;L_(annual_scenario)11"/>
      <sheetName val="P&amp;L_(Scenario)11"/>
      <sheetName val="PAYE_EXPAT4"/>
      <sheetName val="Jan_2000_-_Scr15"/>
      <sheetName val="Tax_MI_rates4"/>
      <sheetName val="Revenue_23"/>
      <sheetName val="P&amp;L_(annual_scenario)12"/>
      <sheetName val="P&amp;L_(Scenario)12"/>
      <sheetName val="PAYE_EXPAT5"/>
      <sheetName val="Jan_2000_-_Scr16"/>
      <sheetName val="Tax_MI_rates5"/>
      <sheetName val="Revenue_24"/>
      <sheetName val="P&amp;L_(annual_scenario)14"/>
      <sheetName val="P&amp;L_(Scenario)14"/>
      <sheetName val="PAYE_EXPAT7"/>
      <sheetName val="Jan_2000_-_Scr18"/>
      <sheetName val="Tax_MI_rates7"/>
      <sheetName val="Revenue_26"/>
      <sheetName val="P&amp;L_(annual_scenario)13"/>
      <sheetName val="P&amp;L_(Scenario)13"/>
      <sheetName val="PAYE_EXPAT6"/>
      <sheetName val="Jan_2000_-_Scr17"/>
      <sheetName val="Tax_MI_rates6"/>
      <sheetName val="Revenue_25"/>
      <sheetName val="P&amp;L_(annual_scenario)15"/>
      <sheetName val="P&amp;L_(Scenario)15"/>
      <sheetName val="PAYE_EXPAT8"/>
      <sheetName val="Jan_2000_-_Scr19"/>
      <sheetName val="Tax_MI_rates8"/>
      <sheetName val="Revenue_27"/>
      <sheetName val="P&amp;L_(annual_scenario)16"/>
      <sheetName val="P&amp;L_(Scenario)16"/>
      <sheetName val="PAYE_EXPAT9"/>
      <sheetName val="Jan_2000_-_Scr110"/>
      <sheetName val="Tax_MI_rates9"/>
      <sheetName val="Revenue_28"/>
      <sheetName val="P&amp;L_(annual_scenario)17"/>
      <sheetName val="P&amp;L_(Scenario)17"/>
      <sheetName val="PAYE_EXPAT10"/>
      <sheetName val="Jan_2000_-_Scr111"/>
      <sheetName val="Tax_MI_rates10"/>
      <sheetName val="Revenue_29"/>
      <sheetName val="P&amp;L_(annual_scenario)18"/>
      <sheetName val="P&amp;L_(Scenario)18"/>
      <sheetName val="PAYE_EXPAT11"/>
      <sheetName val="Jan_2000_-_Scr112"/>
      <sheetName val="Tax_MI_rates11"/>
      <sheetName val="Revenue_210"/>
      <sheetName val="P&amp;L_(annual_scenario)19"/>
      <sheetName val="P&amp;L_(Scenario)19"/>
      <sheetName val="PAYE_EXPAT12"/>
      <sheetName val="Jan_2000_-_Scr113"/>
      <sheetName val="Tax_MI_rates12"/>
      <sheetName val="Revenue_211"/>
      <sheetName val="P&amp;L_(annual_scenario)20"/>
      <sheetName val="P&amp;L_(Scenario)20"/>
      <sheetName val="PAYE_EXPAT13"/>
      <sheetName val="Jan_2000_-_Scr114"/>
      <sheetName val="Tax_MI_rates13"/>
      <sheetName val="Revenue_212"/>
      <sheetName val="P&amp;L_(annual_scenario)21"/>
      <sheetName val="P&amp;L_(Scenario)21"/>
      <sheetName val="PAYE_EXPAT14"/>
      <sheetName val="Jan_2000_-_Scr115"/>
      <sheetName val="Tax_MI_rates14"/>
      <sheetName val="Revenue_213"/>
      <sheetName val="P&amp;L_(annual_scenario)22"/>
      <sheetName val="P&amp;L_(Scenario)22"/>
      <sheetName val="PAYE_EXPAT15"/>
      <sheetName val="Jan_2000_-_Scr116"/>
      <sheetName val="Tax_MI_rates15"/>
      <sheetName val="Revenue_214"/>
      <sheetName val="P&amp;L_(annual_scenario)23"/>
      <sheetName val="P&amp;L_(Scenario)23"/>
      <sheetName val="PAYE_EXPAT16"/>
      <sheetName val="Jan_2000_-_Scr117"/>
      <sheetName val="Tax_MI_rates16"/>
      <sheetName val="Revenue_215"/>
      <sheetName val="P&amp;L_(annual_scenario)24"/>
      <sheetName val="P&amp;L_(Scenario)24"/>
      <sheetName val="PAYE_EXPAT17"/>
      <sheetName val="Jan_2000_-_Scr118"/>
      <sheetName val="Tax_MI_rates17"/>
      <sheetName val="Revenue_216"/>
      <sheetName val="P&amp;L_(annual_scenario)25"/>
      <sheetName val="P&amp;L_(Scenario)25"/>
      <sheetName val="PAYE_EXPAT18"/>
      <sheetName val="Jan_2000_-_Scr119"/>
      <sheetName val="Tax_MI_rates18"/>
      <sheetName val="Revenue_217"/>
      <sheetName val="P&amp;L_(annual_scenario)26"/>
      <sheetName val="P&amp;L_(Scenario)26"/>
      <sheetName val="PAYE_EXPAT19"/>
      <sheetName val="Jan_2000_-_Scr120"/>
      <sheetName val="Tax_MI_rates19"/>
      <sheetName val="Revenue_218"/>
      <sheetName val="P&amp;L_(annual_scenario)27"/>
      <sheetName val="P&amp;L_(Scenario)27"/>
      <sheetName val="PAYE_EXPAT20"/>
      <sheetName val="Jan_2000_-_Scr121"/>
      <sheetName val="Tax_MI_rates20"/>
      <sheetName val="Revenue_219"/>
      <sheetName val="P&amp;L_(annual_scenario)28"/>
      <sheetName val="P&amp;L_(Scenario)28"/>
      <sheetName val="PAYE_EXPAT21"/>
      <sheetName val="Jan_2000_-_Scr122"/>
      <sheetName val="Tax_MI_rates21"/>
      <sheetName val="Revenue_220"/>
      <sheetName val="P&amp;L_(annual_scenario)29"/>
      <sheetName val="P&amp;L_(Scenario)29"/>
      <sheetName val="PAYE_EXPAT22"/>
      <sheetName val="Jan_2000_-_Scr123"/>
      <sheetName val="Tax_MI_rates22"/>
      <sheetName val="Revenue_221"/>
      <sheetName val="P&amp;L_(annual_scenario)30"/>
      <sheetName val="P&amp;L_(Scenario)30"/>
      <sheetName val="PAYE_EXPAT23"/>
      <sheetName val="Jan_2000_-_Scr124"/>
      <sheetName val="Tax_MI_rates23"/>
      <sheetName val="Revenue_222"/>
      <sheetName val="P&amp;L_(annual_scenario)31"/>
      <sheetName val="P&amp;L_(Scenario)31"/>
      <sheetName val="PAYE_EXPAT24"/>
      <sheetName val="Jan_2000_-_Scr125"/>
      <sheetName val="Tax_MI_rates24"/>
      <sheetName val="Revenue_223"/>
      <sheetName val="P&amp;L_(annual_scenario)32"/>
      <sheetName val="P&amp;L_(Scenario)32"/>
      <sheetName val="PAYE_EXPAT25"/>
      <sheetName val="Jan_2000_-_Scr126"/>
      <sheetName val="Tax_MI_rates25"/>
      <sheetName val="Revenue_224"/>
      <sheetName val="P&amp;L_(annual_scenario)33"/>
      <sheetName val="P&amp;L_(Scenario)33"/>
      <sheetName val="PAYE_EXPAT26"/>
      <sheetName val="Jan_2000_-_Scr127"/>
      <sheetName val="Tax_MI_rates26"/>
      <sheetName val="Revenue_225"/>
      <sheetName val="P&amp;L_(annual_scenario)34"/>
      <sheetName val="P&amp;L_(Scenario)34"/>
      <sheetName val="PAYE_EXPAT27"/>
      <sheetName val="Jan_2000_-_Scr128"/>
      <sheetName val="Tax_MI_rates27"/>
      <sheetName val="Revenue_226"/>
      <sheetName val="P&amp;L_(annual_scenario)35"/>
      <sheetName val="P&amp;L_(Scenario)35"/>
      <sheetName val="PAYE_EXPAT28"/>
      <sheetName val="Jan_2000_-_Scr129"/>
      <sheetName val="Tax_MI_rates28"/>
      <sheetName val="Revenue_227"/>
      <sheetName val="P&amp;L_(annual_scenario)36"/>
      <sheetName val="P&amp;L_(Scenario)36"/>
      <sheetName val="PAYE_EXPAT29"/>
      <sheetName val="Jan_2000_-_Scr130"/>
      <sheetName val="Tax_MI_rates29"/>
      <sheetName val="Revenue_228"/>
      <sheetName val="P&amp;L_(annual_scenario)37"/>
      <sheetName val="P&amp;L_(Scenario)37"/>
      <sheetName val="PAYE_EXPAT30"/>
      <sheetName val="Jan_2000_-_Scr131"/>
      <sheetName val="Tax_MI_rates30"/>
      <sheetName val="Revenue_229"/>
      <sheetName val="Check list &amp; Master"/>
      <sheetName val="PDS3"/>
      <sheetName val="Dec2010"/>
      <sheetName val="Summary_Local"/>
      <sheetName val="Summary Cash Flow"/>
      <sheetName val="Sales vTarget"/>
      <sheetName val="Paramaters"/>
      <sheetName val="Per_Plant"/>
      <sheetName val="Apr"/>
      <sheetName val="Security_2002"/>
      <sheetName val="MGT_-_Offpayroll_-_2-5"/>
      <sheetName val="Child_Edu_2002_(2)"/>
      <sheetName val="CC"/>
      <sheetName val="Codes"/>
      <sheetName val="MGT_payroll_-_2-3"/>
      <sheetName val="13th_Month"/>
      <sheetName val="CWAR_Early_Adoption"/>
      <sheetName val="Databank"/>
      <sheetName val="Index"/>
      <sheetName val="JAN_(2)"/>
      <sheetName val="Dec_04"/>
      <sheetName val="Duration_2002"/>
      <sheetName val="Summary_2002_"/>
      <sheetName val="Control_Panel"/>
      <sheetName val="Feb_04"/>
      <sheetName val="F__Asset_old&amp;_new_No_"/>
      <sheetName val="WNL_(2)"/>
      <sheetName val="JANded"/>
      <sheetName val="Jan"/>
      <sheetName val="Jan_04"/>
      <sheetName val="July-99"/>
      <sheetName val="June-99"/>
      <sheetName val="Loan_Balances"/>
      <sheetName val="Mar"/>
      <sheetName val="Nov_04"/>
      <sheetName val="Employee_Offpayroll-_2-4"/>
      <sheetName val="Definitions"/>
      <sheetName val="PAYROLL"/>
      <sheetName val="TOTAL_Qtrly_Incentive"/>
      <sheetName val="jan_01"/>
      <sheetName val="TB_Jun04"/>
      <sheetName val="Furn_Grant_2002_(2)"/>
      <sheetName val="P&amp;L_(annual_scenario)40"/>
      <sheetName val="P&amp;L_(Scenario)40"/>
      <sheetName val="PAYE_EXPAT33"/>
      <sheetName val="Jan_2000_-_Scr134"/>
      <sheetName val="Tax_MI_rates33"/>
      <sheetName val="Revenue_232"/>
      <sheetName val="INVOICE_NON-ROUTINE_AUG_20072"/>
      <sheetName val="P&amp;L_(annual_scenario)38"/>
      <sheetName val="P&amp;L_(Scenario)38"/>
      <sheetName val="PAYE_EXPAT31"/>
      <sheetName val="Jan_2000_-_Scr132"/>
      <sheetName val="Tax_MI_rates31"/>
      <sheetName val="Revenue_230"/>
      <sheetName val="INVOICE_NON-ROUTINE_AUG_2007"/>
      <sheetName val="P&amp;L_(annual_scenario)39"/>
      <sheetName val="P&amp;L_(Scenario)39"/>
      <sheetName val="PAYE_EXPAT32"/>
      <sheetName val="Jan_2000_-_Scr133"/>
      <sheetName val="Tax_MI_rates32"/>
      <sheetName val="Revenue_231"/>
      <sheetName val="INVOICE_NON-ROUTINE_AUG_20071"/>
      <sheetName val="WACC"/>
      <sheetName val="Output"/>
      <sheetName val="Comps"/>
      <sheetName val="DCF"/>
      <sheetName val="Telenet Opex"/>
      <sheetName val="Precedent"/>
      <sheetName val="WiMAX BoM"/>
      <sheetName val="Valuation &amp; Football Field"/>
      <sheetName val="allowance"/>
      <sheetName val="P&amp;L_(annual_scenario)41"/>
      <sheetName val="P&amp;L_(Scenario)41"/>
      <sheetName val="PAYE_EXPAT34"/>
      <sheetName val="Jan_2000_-_Scr135"/>
      <sheetName val="Tax_MI_rates34"/>
      <sheetName val="Revenue_233"/>
      <sheetName val="JE_Summary"/>
      <sheetName val="Options"/>
      <sheetName val="FEB1"/>
      <sheetName val="FEB2"/>
      <sheetName val="JAN2"/>
      <sheetName val="MAR1"/>
      <sheetName val="MAR2"/>
      <sheetName val="SOV tot"/>
      <sheetName val="VlookUp"/>
      <sheetName val="PAYE Report"/>
      <sheetName val="Master"/>
      <sheetName val="TREND PAL"/>
      <sheetName val="Tables"/>
      <sheetName val="Pension Report"/>
      <sheetName val="Loan Tracker"/>
      <sheetName val="Monthly Notes"/>
      <sheetName val="Child Edu 2002 (2)"/>
      <sheetName val="Furn Grant 2002 (2)"/>
      <sheetName val="August"/>
      <sheetName val="July"/>
      <sheetName val="Variation Per Cost Centre"/>
      <sheetName val="Variation"/>
      <sheetName val="Rent Loan"/>
      <sheetName val="Naira Bank Schedule"/>
      <sheetName val="Foreign Currency Bank Schedule"/>
      <sheetName val="Pension"/>
      <sheetName val="NHF"/>
      <sheetName val="ECS"/>
      <sheetName val="Union dues"/>
      <sheetName val="Car Loan"/>
      <sheetName val="Housing Loan"/>
      <sheetName val="Housing upfront"/>
      <sheetName val="Payslips 2017"/>
      <sheetName val="Metadata and Error Checks"/>
      <sheetName val="Expenditure Template"/>
      <sheetName val="Summary Report"/>
      <sheetName val="Bank Schedule"/>
      <sheetName val="PAYE Summary All"/>
      <sheetName val="PAYE FCT"/>
      <sheetName val="PAYE Adamawa"/>
      <sheetName val="PAYE Akwa Ibom"/>
      <sheetName val="PAYE Anambra"/>
      <sheetName val="PAYE Bauchi"/>
      <sheetName val="PAYE Bayelsa"/>
      <sheetName val="PAYE Borno"/>
      <sheetName val="PAYE Cross River"/>
      <sheetName val="PAYE Edo"/>
      <sheetName val="PAYE Jigawa"/>
      <sheetName val="PAYE Kano"/>
      <sheetName val="PAYE Lagos"/>
      <sheetName val="PAYE Rivers"/>
      <sheetName val="PAYE Yobe"/>
      <sheetName val="Pension Summary All"/>
      <sheetName val="Pension Stanbic IBTC"/>
      <sheetName val="Pension TrustFund"/>
      <sheetName val="Pension ARM"/>
      <sheetName val="Pension Leadway"/>
      <sheetName val="Pension Crusader"/>
      <sheetName val="Pension AIICO"/>
      <sheetName val="Pension First Guarantee"/>
      <sheetName val="Pension Premium"/>
      <sheetName val="NHF Summary"/>
      <sheetName val="ECS Summary"/>
      <sheetName val="Tax table"/>
      <sheetName val="payslip-2016"/>
      <sheetName val="Statutory Payment Details"/>
      <sheetName val="Statutory Payment Details-Pensi"/>
      <sheetName val="Master without incentive"/>
      <sheetName val="PAYE"/>
      <sheetName val="Stanbic"/>
      <sheetName val="LEADWAY"/>
      <sheetName val="PAL"/>
      <sheetName val="IST GUARANTEE"/>
      <sheetName val="LEGACY"/>
      <sheetName val="ARM"/>
      <sheetName val="CRUSADER"/>
      <sheetName val="FUTURE"/>
      <sheetName val="FIDELITY"/>
      <sheetName val="Transmed Payroll - March 2016"/>
      <sheetName val="June 2011 (1-13)"/>
      <sheetName val="June 2011 (14-30)"/>
      <sheetName val="July 2011"/>
      <sheetName val="August 2011"/>
      <sheetName val="September 2011"/>
      <sheetName val="October 2011"/>
      <sheetName val="November 2011"/>
      <sheetName val="December 2011"/>
      <sheetName val="January 2012"/>
      <sheetName val="Summary (Jun '11 -Jan '12)_ ALL"/>
      <sheetName val="Summary (Jun '11-Jan '12)_Lagos"/>
      <sheetName val="Summary (Jun '11-Jan '12)_PH"/>
      <sheetName val="Tax tables"/>
      <sheetName val="Child &amp; dept"/>
      <sheetName val="HL Locals - Dec 2013"/>
      <sheetName val="HL Exp - Jan 2014"/>
      <sheetName val="Tax Check (January)"/>
      <sheetName val="Données"/>
      <sheetName val="Dessin"/>
      <sheetName val="Intro"/>
      <sheetName val="Navigator"/>
      <sheetName val="Model Setup"/>
      <sheetName val="Products"/>
      <sheetName val="Branch"/>
      <sheetName val="Branch Mgmt"/>
      <sheetName val="Pas1B1"/>
      <sheetName val="Pas2B1"/>
      <sheetName val="Pas3B1"/>
      <sheetName val="PDS4"/>
      <sheetName val="Pas4B1"/>
      <sheetName val="PDS5"/>
      <sheetName val="Pas5B1"/>
      <sheetName val="Empty"/>
      <sheetName val="Inst.Cap."/>
      <sheetName val="Head Office"/>
      <sheetName val="Aggregate"/>
      <sheetName val="Fin.Sources"/>
      <sheetName val="Fin.Flows"/>
      <sheetName val="Fin.Statements"/>
      <sheetName val="Summary Rep"/>
      <sheetName val="Clipboard"/>
      <sheetName val="User Graph"/>
      <sheetName val="Export"/>
      <sheetName val="Model Structure"/>
      <sheetName val="Inc.Stat.Flow"/>
      <sheetName val="Client Cost"/>
      <sheetName val="RepSched"/>
      <sheetName val="Retention"/>
      <sheetName val="Caseload"/>
      <sheetName val="Var Analysis"/>
      <sheetName val="Pop-up Help"/>
      <sheetName val="Export Data"/>
      <sheetName val="SI Budget"/>
      <sheetName val="M&amp;E Budget"/>
      <sheetName val="Program-till Dec 2020 (2)"/>
      <sheetName val="Facility-till Dec 2020 (2)"/>
      <sheetName val="Leave Tracker_ok but not to kee"/>
      <sheetName val="1.Activity Advance"/>
      <sheetName val="2.Activities  Budget"/>
      <sheetName val="2.Activity Budget by Objectives"/>
      <sheetName val="1. Expense Report"/>
      <sheetName val="Activity Budget and Budget Code"/>
      <sheetName val="Activity Budget by Componen (2)"/>
      <sheetName val="4. Expense Type Validation"/>
      <sheetName val="2.Costed Workplan"/>
      <sheetName val="Cameroon Work Sheet1"/>
      <sheetName val="TIDE Cameroon Summary Budget"/>
      <sheetName val="CameroonAbove Site Total Budget"/>
      <sheetName val="CamService Delivery Site Budget"/>
      <sheetName val="Cameroon Site Staffing"/>
      <sheetName val="Cameroon Activity Budget "/>
      <sheetName val="RTG Center Budget"/>
      <sheetName val="RTG East Budget"/>
      <sheetName val="Budget % Allocation Summary"/>
      <sheetName val="FX Rate"/>
      <sheetName val="budget by category"/>
      <sheetName val="Subgrantee 1"/>
      <sheetName val="Subgrantee 2"/>
      <sheetName val="Subgrantee 3"/>
      <sheetName val="Subgrantee 4"/>
      <sheetName val="Cameroon Consultant 1"/>
      <sheetName val="Haiti Activity Budget"/>
      <sheetName val="Haiti Consultant 1"/>
      <sheetName val="Do not modify"/>
      <sheetName val="budget codes"/>
      <sheetName val="FY10 Allowances"/>
      <sheetName val="No Allowances"/>
      <sheetName val="FY10_Allowances3"/>
      <sheetName val="No_Allowances3"/>
      <sheetName val="FY10_Allowances"/>
      <sheetName val="No_Allowances"/>
      <sheetName val="FY10_Allowances2"/>
      <sheetName val="No_Allowances2"/>
      <sheetName val="FY10_Allowances1"/>
      <sheetName val="No_Allowances1"/>
      <sheetName val="Dec08"/>
      <sheetName val="Guidelines"/>
      <sheetName val="INFO"/>
      <sheetName val="GLOBALSUM"/>
      <sheetName val="TO#1-Central"/>
      <sheetName val="TO#1-Rwanda"/>
      <sheetName val="TO#2-Central"/>
      <sheetName val="TO#2-Rwanda"/>
      <sheetName val="TO#3-Central"/>
      <sheetName val="TO#3-Rwanda"/>
      <sheetName val="ACTIVITY_BLANK"/>
      <sheetName val="SUMMARY-CENTRAL"/>
      <sheetName val="SUMMARY-MISSION"/>
      <sheetName val="SUMMARY-CENTRAL &amp; MISSION"/>
      <sheetName val="RATES"/>
      <sheetName val="FX_RATES"/>
      <sheetName val="ABRADATA"/>
      <sheetName val="NOTES"/>
      <sheetName val="BudgetCheckList"/>
      <sheetName val="BUDLIST_INPUT"/>
      <sheetName val="SUMMARY-CENTRAL_&amp;_MISSION"/>
      <sheetName val="SF424"/>
      <sheetName val="SF424A"/>
      <sheetName val="Report Options"/>
      <sheetName val="P&amp;L GN"/>
      <sheetName val="P&amp;L_GN"/>
      <sheetName val="P&amp;L_GN1"/>
      <sheetName val="1.Budget vs Outlay by Comp Y3"/>
      <sheetName val="2.Activity Budget vs Outlay Y3"/>
      <sheetName val="Resume-Y03 Budget vs Exp Q1+Q4"/>
      <sheetName val="3.ARPA Budget COMP 05"/>
      <sheetName val="4.ARPA Budget COMP18"/>
      <sheetName val="4.ARPA Budget COMP15 EMR"/>
      <sheetName val="4.COMP18 GLOBAL VAX"/>
      <sheetName val="TCN Fringe"/>
      <sheetName val="Cameroon Activity Budget Y3"/>
      <sheetName val="Questions"/>
      <sheetName val="INVOICE_NON-ROUTINE_AUG_20073"/>
      <sheetName val="Deals"/>
    </sheetNames>
    <sheetDataSet>
      <sheetData sheetId="0"/>
      <sheetData sheetId="1"/>
      <sheetData sheetId="2">
        <row r="5">
          <cell r="E5">
            <v>0.03</v>
          </cell>
        </row>
      </sheetData>
      <sheetData sheetId="3"/>
      <sheetData sheetId="4">
        <row r="2">
          <cell r="A2" t="str">
            <v xml:space="preserve"> </v>
          </cell>
        </row>
      </sheetData>
      <sheetData sheetId="5" refreshError="1"/>
      <sheetData sheetId="6" refreshError="1"/>
      <sheetData sheetId="7" refreshError="1"/>
      <sheetData sheetId="8" refreshError="1"/>
      <sheetData sheetId="9"/>
      <sheetData sheetId="10">
        <row r="3">
          <cell r="A3" t="str">
            <v>Select Here</v>
          </cell>
        </row>
      </sheetData>
      <sheetData sheetId="11">
        <row r="13">
          <cell r="C13" t="str">
            <v>Rochelle P Walensky MD, MPH</v>
          </cell>
        </row>
      </sheetData>
      <sheetData sheetId="12">
        <row r="10">
          <cell r="A10" t="str">
            <v>Rochelle P Walensky MD, MPH</v>
          </cell>
        </row>
      </sheetData>
      <sheetData sheetId="13">
        <row r="3">
          <cell r="A3" t="str">
            <v>Select Here</v>
          </cell>
        </row>
      </sheetData>
      <sheetData sheetId="14">
        <row r="3">
          <cell r="A3" t="str">
            <v>Select Here</v>
          </cell>
        </row>
      </sheetData>
      <sheetData sheetId="15">
        <row r="3">
          <cell r="A3" t="str">
            <v>Select Here</v>
          </cell>
        </row>
      </sheetData>
      <sheetData sheetId="16">
        <row r="3">
          <cell r="A3" t="str">
            <v>Select Here</v>
          </cell>
        </row>
      </sheetData>
      <sheetData sheetId="17">
        <row r="3">
          <cell r="A3" t="str">
            <v>Select Here</v>
          </cell>
        </row>
      </sheetData>
      <sheetData sheetId="18">
        <row r="3">
          <cell r="A3" t="str">
            <v>Select Here</v>
          </cell>
        </row>
      </sheetData>
      <sheetData sheetId="19" refreshError="1"/>
      <sheetData sheetId="20" refreshError="1"/>
      <sheetData sheetId="21" refreshError="1"/>
      <sheetData sheetId="22">
        <row r="5">
          <cell r="E5">
            <v>0.03</v>
          </cell>
        </row>
      </sheetData>
      <sheetData sheetId="23">
        <row r="3">
          <cell r="A3" t="str">
            <v>Select Here</v>
          </cell>
        </row>
      </sheetData>
      <sheetData sheetId="24">
        <row r="3">
          <cell r="A3" t="str">
            <v>Select Here</v>
          </cell>
        </row>
      </sheetData>
      <sheetData sheetId="25">
        <row r="3">
          <cell r="A3" t="str">
            <v>Select Here</v>
          </cell>
        </row>
      </sheetData>
      <sheetData sheetId="26">
        <row r="3">
          <cell r="A3" t="str">
            <v>Select Here</v>
          </cell>
        </row>
      </sheetData>
      <sheetData sheetId="27">
        <row r="3">
          <cell r="A3" t="str">
            <v>Select Here</v>
          </cell>
        </row>
      </sheetData>
      <sheetData sheetId="28">
        <row r="3">
          <cell r="A3" t="str">
            <v>Select Here</v>
          </cell>
        </row>
      </sheetData>
      <sheetData sheetId="29"/>
      <sheetData sheetId="30"/>
      <sheetData sheetId="31">
        <row r="3">
          <cell r="A3" t="str">
            <v>Select Here</v>
          </cell>
        </row>
      </sheetData>
      <sheetData sheetId="32">
        <row r="3">
          <cell r="A3" t="str">
            <v>Select Here</v>
          </cell>
        </row>
      </sheetData>
      <sheetData sheetId="33" refreshError="1"/>
      <sheetData sheetId="34" refreshError="1"/>
      <sheetData sheetId="35" refreshError="1"/>
      <sheetData sheetId="36" refreshError="1"/>
      <sheetData sheetId="37" refreshError="1"/>
      <sheetData sheetId="38">
        <row r="3">
          <cell r="A3" t="str">
            <v>Select Here</v>
          </cell>
        </row>
      </sheetData>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sheetData sheetId="67"/>
      <sheetData sheetId="68"/>
      <sheetData sheetId="69"/>
      <sheetData sheetId="70"/>
      <sheetData sheetId="71"/>
      <sheetData sheetId="72"/>
      <sheetData sheetId="73">
        <row r="9">
          <cell r="J9">
            <v>82</v>
          </cell>
        </row>
      </sheetData>
      <sheetData sheetId="74" refreshError="1"/>
      <sheetData sheetId="75">
        <row r="5">
          <cell r="E5">
            <v>0.03</v>
          </cell>
        </row>
      </sheetData>
      <sheetData sheetId="76" refreshError="1"/>
      <sheetData sheetId="77">
        <row r="5">
          <cell r="E5">
            <v>0.03</v>
          </cell>
        </row>
      </sheetData>
      <sheetData sheetId="78" refreshError="1"/>
      <sheetData sheetId="79"/>
      <sheetData sheetId="80">
        <row r="5">
          <cell r="E5">
            <v>0.03</v>
          </cell>
        </row>
      </sheetData>
      <sheetData sheetId="81"/>
      <sheetData sheetId="82">
        <row r="5">
          <cell r="E5">
            <v>0.03</v>
          </cell>
        </row>
      </sheetData>
      <sheetData sheetId="83">
        <row r="5">
          <cell r="E5">
            <v>0.03</v>
          </cell>
        </row>
      </sheetData>
      <sheetData sheetId="84"/>
      <sheetData sheetId="85">
        <row r="9">
          <cell r="J9">
            <v>82</v>
          </cell>
        </row>
      </sheetData>
      <sheetData sheetId="86">
        <row r="5">
          <cell r="E5">
            <v>0.03</v>
          </cell>
        </row>
      </sheetData>
      <sheetData sheetId="87">
        <row r="5">
          <cell r="E5">
            <v>0.03</v>
          </cell>
        </row>
      </sheetData>
      <sheetData sheetId="88"/>
      <sheetData sheetId="89"/>
      <sheetData sheetId="90" refreshError="1"/>
      <sheetData sheetId="91" refreshError="1"/>
      <sheetData sheetId="92"/>
      <sheetData sheetId="93"/>
      <sheetData sheetId="94">
        <row r="2">
          <cell r="A2" t="str">
            <v>VCT(OPD, Laboratory)</v>
          </cell>
        </row>
      </sheetData>
      <sheetData sheetId="95"/>
      <sheetData sheetId="96"/>
      <sheetData sheetId="97"/>
      <sheetData sheetId="98"/>
      <sheetData sheetId="99"/>
      <sheetData sheetId="100"/>
      <sheetData sheetId="101"/>
      <sheetData sheetId="102"/>
      <sheetData sheetId="103"/>
      <sheetData sheetId="104" refreshError="1"/>
      <sheetData sheetId="105"/>
      <sheetData sheetId="106"/>
      <sheetData sheetId="107"/>
      <sheetData sheetId="108" refreshError="1"/>
      <sheetData sheetId="109"/>
      <sheetData sheetId="110"/>
      <sheetData sheetId="111"/>
      <sheetData sheetId="112"/>
      <sheetData sheetId="113"/>
      <sheetData sheetId="114"/>
      <sheetData sheetId="115"/>
      <sheetData sheetId="116"/>
      <sheetData sheetId="117"/>
      <sheetData sheetId="118">
        <row r="2">
          <cell r="A2" t="str">
            <v>1er Secours</v>
          </cell>
        </row>
      </sheetData>
      <sheetData sheetId="119"/>
      <sheetData sheetId="120"/>
      <sheetData sheetId="121"/>
      <sheetData sheetId="122" refreshError="1"/>
      <sheetData sheetId="123">
        <row r="6">
          <cell r="D6" t="str">
            <v>Center</v>
          </cell>
        </row>
      </sheetData>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row r="2">
          <cell r="B2" t="str">
            <v>CHC_BATOURI</v>
          </cell>
        </row>
        <row r="3">
          <cell r="B3" t="str">
            <v>CM_SFID_MBANG</v>
          </cell>
        </row>
        <row r="4">
          <cell r="B4" t="str">
            <v>CMA_BELABO</v>
          </cell>
        </row>
        <row r="5">
          <cell r="B5" t="str">
            <v>CMA_KENTZOU</v>
          </cell>
        </row>
        <row r="6">
          <cell r="B6" t="str">
            <v>CSC_NKOLBIKON</v>
          </cell>
        </row>
        <row r="7">
          <cell r="B7" t="str">
            <v>CSC_SALAPOUMBE</v>
          </cell>
        </row>
        <row r="8">
          <cell r="B8" t="str">
            <v>CSI_MOKOLO_I</v>
          </cell>
        </row>
        <row r="9">
          <cell r="B9" t="str">
            <v>EPC_GAROUA_BOULAI</v>
          </cell>
        </row>
        <row r="10">
          <cell r="B10" t="str">
            <v>HD_ABONG_MBANG</v>
          </cell>
        </row>
        <row r="11">
          <cell r="B11" t="str">
            <v>HD_BATOURI</v>
          </cell>
        </row>
        <row r="12">
          <cell r="B12" t="str">
            <v>HD_BETARE_OYA</v>
          </cell>
        </row>
        <row r="13">
          <cell r="B13" t="str">
            <v>HD_DOUME</v>
          </cell>
        </row>
        <row r="14">
          <cell r="B14" t="str">
            <v>HD_GAROUA_BOULAI</v>
          </cell>
        </row>
        <row r="15">
          <cell r="B15" t="str">
            <v>HD_KETTE</v>
          </cell>
        </row>
        <row r="16">
          <cell r="B16" t="str">
            <v>HD_LOMIE</v>
          </cell>
        </row>
        <row r="17">
          <cell r="B17" t="str">
            <v>HD_MESSAMENA</v>
          </cell>
        </row>
        <row r="18">
          <cell r="B18" t="str">
            <v>HD_NGUELEMENDOUKA</v>
          </cell>
        </row>
        <row r="19">
          <cell r="B19" t="str">
            <v>HD_YOKADOUMA</v>
          </cell>
        </row>
        <row r="20">
          <cell r="B20" t="str">
            <v>HR_BERTOUA</v>
          </cell>
        </row>
      </sheetData>
      <sheetData sheetId="198"/>
      <sheetData sheetId="199">
        <row r="30">
          <cell r="C30" t="str">
            <v>EUR</v>
          </cell>
        </row>
        <row r="31">
          <cell r="C31" t="str">
            <v>XAF</v>
          </cell>
        </row>
        <row r="32">
          <cell r="C32" t="str">
            <v>USD</v>
          </cell>
        </row>
        <row r="44">
          <cell r="K44" t="str">
            <v>Ministry of Public Health of the Republic of Cameroon</v>
          </cell>
        </row>
        <row r="45">
          <cell r="K45" t="str">
            <v>SR_SECTEUR PRIVE ET PRISON</v>
          </cell>
        </row>
        <row r="46">
          <cell r="K46">
            <v>0</v>
          </cell>
        </row>
        <row r="47">
          <cell r="K47">
            <v>0</v>
          </cell>
        </row>
        <row r="48">
          <cell r="K48">
            <v>0</v>
          </cell>
        </row>
        <row r="49">
          <cell r="K49">
            <v>0</v>
          </cell>
        </row>
        <row r="50">
          <cell r="K50">
            <v>0</v>
          </cell>
        </row>
        <row r="51">
          <cell r="K51">
            <v>0</v>
          </cell>
        </row>
        <row r="52">
          <cell r="K52">
            <v>0</v>
          </cell>
        </row>
        <row r="53">
          <cell r="K53">
            <v>0</v>
          </cell>
        </row>
        <row r="54">
          <cell r="K54">
            <v>0</v>
          </cell>
        </row>
        <row r="55">
          <cell r="K55">
            <v>0</v>
          </cell>
        </row>
        <row r="56">
          <cell r="K56">
            <v>0</v>
          </cell>
        </row>
        <row r="57">
          <cell r="K57">
            <v>0</v>
          </cell>
        </row>
        <row r="58">
          <cell r="K58">
            <v>0</v>
          </cell>
        </row>
        <row r="59">
          <cell r="K59">
            <v>0</v>
          </cell>
        </row>
        <row r="60">
          <cell r="K60">
            <v>0</v>
          </cell>
        </row>
        <row r="61">
          <cell r="K61">
            <v>0</v>
          </cell>
        </row>
        <row r="62">
          <cell r="K62">
            <v>0</v>
          </cell>
        </row>
        <row r="63">
          <cell r="K63">
            <v>0</v>
          </cell>
        </row>
        <row r="64">
          <cell r="K64">
            <v>0</v>
          </cell>
        </row>
        <row r="65">
          <cell r="K65">
            <v>0</v>
          </cell>
        </row>
        <row r="66">
          <cell r="K66">
            <v>0</v>
          </cell>
        </row>
        <row r="67">
          <cell r="K67">
            <v>0</v>
          </cell>
        </row>
        <row r="68">
          <cell r="K68">
            <v>0</v>
          </cell>
        </row>
        <row r="69">
          <cell r="K69">
            <v>0</v>
          </cell>
        </row>
        <row r="70">
          <cell r="K70">
            <v>0</v>
          </cell>
        </row>
        <row r="73">
          <cell r="A73" t="str">
            <v>GTC/CNLS-SGAF</v>
          </cell>
        </row>
        <row r="74">
          <cell r="A74" t="str">
            <v>GTC/CNLS-SASS</v>
          </cell>
        </row>
        <row r="75">
          <cell r="A75" t="str">
            <v>GTC/CNLS-SRPSESE</v>
          </cell>
        </row>
        <row r="76">
          <cell r="A76" t="str">
            <v>GTC/CNLS-SRLSP</v>
          </cell>
        </row>
        <row r="77">
          <cell r="A77" t="str">
            <v>GTC/CNLS-SCCCMS</v>
          </cell>
        </row>
        <row r="78">
          <cell r="A78" t="str">
            <v>GTC/CNLS-SPM</v>
          </cell>
        </row>
        <row r="79">
          <cell r="A79" t="str">
            <v>STBP-AI</v>
          </cell>
        </row>
        <row r="80">
          <cell r="A80" t="str">
            <v>CNLS-GTR</v>
          </cell>
        </row>
        <row r="81">
          <cell r="A81" t="str">
            <v>SASS-IDA</v>
          </cell>
        </row>
        <row r="82">
          <cell r="A82" t="str">
            <v>SASS-PFSCM</v>
          </cell>
        </row>
        <row r="83">
          <cell r="A83" t="str">
            <v>GTC/CNLS-INFO</v>
          </cell>
        </row>
        <row r="84">
          <cell r="A84" t="str">
            <v>SR1</v>
          </cell>
        </row>
        <row r="85">
          <cell r="A85" t="str">
            <v>GTC/CNLS-SP</v>
          </cell>
        </row>
        <row r="86">
          <cell r="A86" t="str">
            <v>SR2</v>
          </cell>
        </row>
        <row r="87">
          <cell r="A87" t="str">
            <v>CIS</v>
          </cell>
        </row>
      </sheetData>
      <sheetData sheetId="200"/>
      <sheetData sheetId="201">
        <row r="30">
          <cell r="B30" t="str">
            <v>MCI-00000</v>
          </cell>
        </row>
        <row r="31">
          <cell r="B31" t="str">
            <v>MCI-00000</v>
          </cell>
        </row>
        <row r="32">
          <cell r="B32" t="str">
            <v>MCI-00000</v>
          </cell>
        </row>
        <row r="33">
          <cell r="B33" t="str">
            <v>MCI-00000</v>
          </cell>
        </row>
        <row r="34">
          <cell r="B34" t="str">
            <v>MCI-00000</v>
          </cell>
        </row>
        <row r="35">
          <cell r="B35" t="str">
            <v>MCI-00000</v>
          </cell>
        </row>
        <row r="36">
          <cell r="B36" t="str">
            <v>MCI-00000</v>
          </cell>
        </row>
        <row r="37">
          <cell r="B37" t="str">
            <v>MCI-00000</v>
          </cell>
        </row>
        <row r="38">
          <cell r="B38" t="str">
            <v>MCI-00002</v>
          </cell>
        </row>
        <row r="39">
          <cell r="B39" t="str">
            <v>MCI-00002</v>
          </cell>
        </row>
        <row r="40">
          <cell r="B40" t="str">
            <v>MCI-00002</v>
          </cell>
        </row>
        <row r="41">
          <cell r="B41" t="str">
            <v>MCI-00002</v>
          </cell>
        </row>
        <row r="42">
          <cell r="B42" t="str">
            <v>MCI-00002</v>
          </cell>
        </row>
        <row r="43">
          <cell r="B43" t="str">
            <v>MCI-00002</v>
          </cell>
        </row>
        <row r="44">
          <cell r="B44" t="str">
            <v>MCI-00002</v>
          </cell>
        </row>
        <row r="45">
          <cell r="B45" t="str">
            <v>MCI-00002</v>
          </cell>
        </row>
        <row r="46">
          <cell r="B46" t="str">
            <v>MCI-00002</v>
          </cell>
        </row>
        <row r="47">
          <cell r="B47" t="str">
            <v>MCI-00002</v>
          </cell>
        </row>
        <row r="48">
          <cell r="B48" t="str">
            <v>MCI-00002</v>
          </cell>
        </row>
        <row r="49">
          <cell r="B49" t="str">
            <v>MCI-00003</v>
          </cell>
        </row>
        <row r="50">
          <cell r="B50" t="str">
            <v>MCI-00003</v>
          </cell>
        </row>
        <row r="51">
          <cell r="B51" t="str">
            <v>MCI-00003</v>
          </cell>
        </row>
        <row r="52">
          <cell r="B52" t="str">
            <v>MCI-00003</v>
          </cell>
        </row>
        <row r="53">
          <cell r="B53" t="str">
            <v>MCI-00003</v>
          </cell>
        </row>
        <row r="54">
          <cell r="B54" t="str">
            <v>MCI-00003</v>
          </cell>
        </row>
        <row r="55">
          <cell r="B55" t="str">
            <v>MCI-00003</v>
          </cell>
        </row>
        <row r="56">
          <cell r="B56" t="str">
            <v>MCI-00003</v>
          </cell>
        </row>
        <row r="57">
          <cell r="B57" t="str">
            <v>MCI-00003</v>
          </cell>
        </row>
        <row r="58">
          <cell r="B58" t="str">
            <v>MCI-00003</v>
          </cell>
        </row>
        <row r="59">
          <cell r="B59" t="str">
            <v>MCI-00003</v>
          </cell>
        </row>
        <row r="60">
          <cell r="B60" t="str">
            <v>MCI-00003</v>
          </cell>
        </row>
        <row r="61">
          <cell r="B61" t="str">
            <v>MCI-00004</v>
          </cell>
        </row>
        <row r="62">
          <cell r="B62" t="str">
            <v>MCI-00004</v>
          </cell>
        </row>
        <row r="63">
          <cell r="B63" t="str">
            <v>MCI-00004</v>
          </cell>
        </row>
        <row r="64">
          <cell r="B64" t="str">
            <v>MCI-00004</v>
          </cell>
        </row>
        <row r="65">
          <cell r="B65" t="str">
            <v>MCI-00004</v>
          </cell>
        </row>
        <row r="66">
          <cell r="B66" t="str">
            <v>MCI-00005</v>
          </cell>
        </row>
        <row r="67">
          <cell r="B67" t="str">
            <v>MCI-00005</v>
          </cell>
        </row>
        <row r="68">
          <cell r="B68" t="str">
            <v>MCI-00005</v>
          </cell>
        </row>
        <row r="69">
          <cell r="B69" t="str">
            <v>MCI-00005</v>
          </cell>
        </row>
        <row r="70">
          <cell r="B70" t="str">
            <v>MCI-00005</v>
          </cell>
        </row>
        <row r="71">
          <cell r="B71" t="str">
            <v>MCI-00005</v>
          </cell>
        </row>
        <row r="72">
          <cell r="B72" t="str">
            <v>MCI-00005</v>
          </cell>
        </row>
        <row r="73">
          <cell r="B73" t="str">
            <v>MCI-00005</v>
          </cell>
        </row>
        <row r="74">
          <cell r="B74" t="str">
            <v>MCI-00005</v>
          </cell>
        </row>
        <row r="75">
          <cell r="B75" t="str">
            <v>MCI-00005</v>
          </cell>
        </row>
        <row r="76">
          <cell r="B76" t="str">
            <v>MCI-00005</v>
          </cell>
        </row>
        <row r="77">
          <cell r="B77" t="str">
            <v>MCI-00006</v>
          </cell>
        </row>
        <row r="78">
          <cell r="B78" t="str">
            <v>MCI-00006</v>
          </cell>
        </row>
        <row r="79">
          <cell r="B79" t="str">
            <v>MCI-00006</v>
          </cell>
        </row>
        <row r="80">
          <cell r="B80" t="str">
            <v>MCI-00006</v>
          </cell>
        </row>
        <row r="81">
          <cell r="B81" t="str">
            <v>MCI-00006</v>
          </cell>
        </row>
        <row r="82">
          <cell r="B82" t="str">
            <v>MCI-00007</v>
          </cell>
        </row>
        <row r="83">
          <cell r="B83" t="str">
            <v>MCI-00007</v>
          </cell>
        </row>
        <row r="84">
          <cell r="B84" t="str">
            <v>MCI-00007</v>
          </cell>
        </row>
        <row r="85">
          <cell r="B85" t="str">
            <v>MCI-00007</v>
          </cell>
        </row>
        <row r="86">
          <cell r="B86" t="str">
            <v>MCI-00007</v>
          </cell>
        </row>
        <row r="87">
          <cell r="B87" t="str">
            <v>MCI-00007</v>
          </cell>
        </row>
        <row r="88">
          <cell r="B88" t="str">
            <v>MCI-00007</v>
          </cell>
        </row>
        <row r="89">
          <cell r="B89" t="str">
            <v>MCI-00007</v>
          </cell>
        </row>
        <row r="90">
          <cell r="B90" t="str">
            <v>MCI-00009</v>
          </cell>
        </row>
        <row r="91">
          <cell r="B91" t="str">
            <v>MCI-00009</v>
          </cell>
        </row>
        <row r="92">
          <cell r="B92" t="str">
            <v>MCI-00009</v>
          </cell>
        </row>
        <row r="93">
          <cell r="B93" t="str">
            <v>MCI-00009</v>
          </cell>
        </row>
        <row r="94">
          <cell r="B94" t="str">
            <v>MCI-00009</v>
          </cell>
        </row>
        <row r="95">
          <cell r="B95" t="str">
            <v>MCI-00009</v>
          </cell>
        </row>
        <row r="96">
          <cell r="B96" t="str">
            <v>MCI-00009</v>
          </cell>
        </row>
        <row r="97">
          <cell r="B97" t="str">
            <v>MCI-00009</v>
          </cell>
        </row>
        <row r="98">
          <cell r="B98" t="str">
            <v>MCI-00014</v>
          </cell>
        </row>
        <row r="99">
          <cell r="B99" t="str">
            <v>MCI-00014</v>
          </cell>
        </row>
        <row r="100">
          <cell r="B100" t="str">
            <v>MCI-00014</v>
          </cell>
        </row>
        <row r="101">
          <cell r="B101" t="str">
            <v>MCI-00014</v>
          </cell>
        </row>
        <row r="102">
          <cell r="B102" t="str">
            <v>MCI-00014</v>
          </cell>
        </row>
        <row r="103">
          <cell r="B103" t="str">
            <v>MCI-00014</v>
          </cell>
        </row>
        <row r="104">
          <cell r="B104" t="str">
            <v>MCI-00015</v>
          </cell>
        </row>
        <row r="105">
          <cell r="B105" t="str">
            <v>MCI-00015</v>
          </cell>
        </row>
        <row r="106">
          <cell r="B106" t="str">
            <v>MCI-00015</v>
          </cell>
        </row>
        <row r="107">
          <cell r="B107" t="str">
            <v>MCI-00016</v>
          </cell>
        </row>
        <row r="108">
          <cell r="B108" t="str">
            <v>MCI-00016</v>
          </cell>
        </row>
        <row r="109">
          <cell r="B109" t="str">
            <v>MCI-00016</v>
          </cell>
        </row>
        <row r="110">
          <cell r="B110" t="str">
            <v>MCI-00016</v>
          </cell>
        </row>
        <row r="111">
          <cell r="B111" t="str">
            <v>MCI-00016</v>
          </cell>
        </row>
        <row r="112">
          <cell r="B112" t="str">
            <v>MCI-00019</v>
          </cell>
        </row>
        <row r="113">
          <cell r="B113" t="str">
            <v>MCI-00019</v>
          </cell>
        </row>
        <row r="114">
          <cell r="B114" t="str">
            <v>MCI-00019</v>
          </cell>
        </row>
        <row r="115">
          <cell r="B115" t="str">
            <v>MCI-00021</v>
          </cell>
        </row>
        <row r="116">
          <cell r="B116" t="str">
            <v>MCI-00021</v>
          </cell>
        </row>
        <row r="117">
          <cell r="B117" t="str">
            <v>MCI-00021</v>
          </cell>
        </row>
        <row r="118">
          <cell r="B118" t="str">
            <v>MCI-00021</v>
          </cell>
        </row>
        <row r="119">
          <cell r="B119" t="str">
            <v>MCI-00021</v>
          </cell>
        </row>
        <row r="120">
          <cell r="B120" t="str">
            <v>MCI-00022</v>
          </cell>
        </row>
        <row r="121">
          <cell r="B121" t="str">
            <v>MCI-00022</v>
          </cell>
        </row>
        <row r="122">
          <cell r="B122" t="str">
            <v>MCI-00022</v>
          </cell>
        </row>
        <row r="123">
          <cell r="B123" t="str">
            <v>MCI-00022</v>
          </cell>
        </row>
        <row r="124">
          <cell r="B124" t="str">
            <v>MCI-00022</v>
          </cell>
        </row>
        <row r="125">
          <cell r="B125" t="str">
            <v>MCI-00022</v>
          </cell>
        </row>
        <row r="126">
          <cell r="B126" t="str">
            <v>MCI-00022</v>
          </cell>
        </row>
        <row r="127">
          <cell r="B127" t="str">
            <v>MCI-00023</v>
          </cell>
        </row>
        <row r="128">
          <cell r="B128" t="str">
            <v>MCI-00023</v>
          </cell>
        </row>
        <row r="129">
          <cell r="B129" t="str">
            <v>MCI-00023</v>
          </cell>
        </row>
        <row r="130">
          <cell r="B130" t="str">
            <v>MCI-00024</v>
          </cell>
        </row>
        <row r="131">
          <cell r="B131" t="str">
            <v>MCI-00531</v>
          </cell>
        </row>
        <row r="132">
          <cell r="B132" t="str">
            <v>MCI-00531</v>
          </cell>
        </row>
        <row r="133">
          <cell r="B133" t="str">
            <v>MCI-00531</v>
          </cell>
        </row>
        <row r="134">
          <cell r="B134" t="str">
            <v>MCI-00531</v>
          </cell>
        </row>
        <row r="135">
          <cell r="B135" t="str">
            <v>MCI-00531</v>
          </cell>
        </row>
        <row r="136">
          <cell r="B136" t="str">
            <v>MCI-00531</v>
          </cell>
        </row>
        <row r="137">
          <cell r="B137" t="str">
            <v>MCI-00531</v>
          </cell>
        </row>
        <row r="138">
          <cell r="B138" t="str">
            <v>MCI-00531</v>
          </cell>
        </row>
        <row r="139">
          <cell r="B139" t="str">
            <v>MCI-00531</v>
          </cell>
        </row>
        <row r="140">
          <cell r="B140" t="str">
            <v>MCI-00531</v>
          </cell>
        </row>
        <row r="141">
          <cell r="B141" t="str">
            <v>MCI-00531</v>
          </cell>
        </row>
        <row r="142">
          <cell r="B142" t="str">
            <v>MCI-00532</v>
          </cell>
        </row>
        <row r="143">
          <cell r="B143" t="str">
            <v>MCI-00532</v>
          </cell>
        </row>
        <row r="144">
          <cell r="B144" t="str">
            <v>MCI-00532</v>
          </cell>
        </row>
        <row r="145">
          <cell r="B145" t="str">
            <v>MCI-00532</v>
          </cell>
        </row>
        <row r="146">
          <cell r="B146" t="str">
            <v>MCI-00532</v>
          </cell>
        </row>
        <row r="147">
          <cell r="B147" t="str">
            <v>MCI-00532</v>
          </cell>
        </row>
        <row r="148">
          <cell r="B148" t="str">
            <v>MCI-00532</v>
          </cell>
        </row>
        <row r="149">
          <cell r="B149" t="str">
            <v>MCI-00532</v>
          </cell>
        </row>
        <row r="150">
          <cell r="B150" t="str">
            <v>MCI-00532</v>
          </cell>
        </row>
        <row r="151">
          <cell r="B151" t="str">
            <v>MCI-00532</v>
          </cell>
        </row>
        <row r="152">
          <cell r="B152" t="str">
            <v>MCI-00533</v>
          </cell>
        </row>
        <row r="153">
          <cell r="B153" t="str">
            <v>MCI-00534</v>
          </cell>
        </row>
        <row r="154">
          <cell r="B154" t="str">
            <v>MCI-00534</v>
          </cell>
        </row>
        <row r="155">
          <cell r="B155" t="str">
            <v>MCI-00534</v>
          </cell>
        </row>
        <row r="156">
          <cell r="B156" t="str">
            <v>MCI-00534</v>
          </cell>
        </row>
        <row r="157">
          <cell r="B157" t="str">
            <v>MCI-00534</v>
          </cell>
        </row>
        <row r="158">
          <cell r="B158" t="str">
            <v>MCI-00534</v>
          </cell>
        </row>
        <row r="159">
          <cell r="B159" t="str">
            <v>MCI-00534</v>
          </cell>
        </row>
        <row r="160">
          <cell r="B160" t="str">
            <v>MCI-00534</v>
          </cell>
        </row>
        <row r="161">
          <cell r="B161" t="str">
            <v>MCI-00534</v>
          </cell>
        </row>
        <row r="162">
          <cell r="B162" t="str">
            <v>MCI-00534</v>
          </cell>
        </row>
        <row r="163">
          <cell r="B163" t="str">
            <v>MCI-00534</v>
          </cell>
        </row>
        <row r="164">
          <cell r="B164" t="str">
            <v>MCI-00535</v>
          </cell>
        </row>
        <row r="165">
          <cell r="B165" t="str">
            <v>MCI-00535</v>
          </cell>
        </row>
        <row r="166">
          <cell r="B166" t="str">
            <v>MCI-00535</v>
          </cell>
        </row>
        <row r="167">
          <cell r="B167" t="str">
            <v>MCI-00535</v>
          </cell>
        </row>
        <row r="168">
          <cell r="B168" t="str">
            <v>MCI-00535</v>
          </cell>
        </row>
        <row r="169">
          <cell r="B169" t="str">
            <v>MCI-00535</v>
          </cell>
        </row>
        <row r="170">
          <cell r="B170" t="str">
            <v>MCI-00535</v>
          </cell>
        </row>
        <row r="171">
          <cell r="B171" t="str">
            <v>MCI-00535</v>
          </cell>
        </row>
        <row r="172">
          <cell r="B172" t="str">
            <v>MCI-00536</v>
          </cell>
        </row>
        <row r="173">
          <cell r="B173" t="str">
            <v>MCI-00536</v>
          </cell>
        </row>
        <row r="199">
          <cell r="F199" t="str">
            <v>[Cost Grouping Number].[Cost Input Number] [Name - FR]</v>
          </cell>
        </row>
        <row r="200">
          <cell r="F200" t="str">
            <v>1.0 Ressources humaines (RH)</v>
          </cell>
        </row>
        <row r="201">
          <cell r="F201" t="str">
            <v>1.1 Salaires - gestion du programme</v>
          </cell>
        </row>
        <row r="202">
          <cell r="F202" t="str">
            <v>1.2 Salaires - Travailleurs de proximité, personnel médical et autres prestataires de services</v>
          </cell>
        </row>
        <row r="203">
          <cell r="F203" t="str">
            <v>1.3 Compléments de salaire/incitations financières</v>
          </cell>
        </row>
        <row r="204">
          <cell r="F204" t="str">
            <v>1.4 Autres coûts de RH</v>
          </cell>
        </row>
        <row r="205">
          <cell r="F205" t="str">
            <v>2.0 Coûts liés au déplacements (Voyages)</v>
          </cell>
        </row>
        <row r="206">
          <cell r="F206" t="str">
            <v>2.1 Indemnités journalières liés à la formation/transports/autres coûts</v>
          </cell>
        </row>
        <row r="207">
          <cell r="F207" t="str">
            <v>2.2 Indemnités journalières liés à l'assistance technique/transports/autres coût</v>
          </cell>
        </row>
        <row r="208">
          <cell r="F208" t="str">
            <v>2.3 Indemnités journalières liés à la supervision/enquête/collecte de données/transport/autres coût</v>
          </cell>
        </row>
        <row r="209">
          <cell r="F209" t="str">
            <v>2.4 Indemnités journalières liés à la sensibilisation/ transport/réunion/ et autres coût</v>
          </cell>
        </row>
        <row r="210">
          <cell r="F210" t="str">
            <v>2.5 Autres coûts de transport</v>
          </cell>
        </row>
        <row r="211">
          <cell r="F211" t="str">
            <v>3.0 Services professionnels externes (SPE)</v>
          </cell>
        </row>
        <row r="212">
          <cell r="F212" t="str">
            <v>3.1 Honoraires liés à l'assistance technique / Consultants</v>
          </cell>
        </row>
        <row r="213">
          <cell r="F213" t="str">
            <v>3.2 Honoraires de l'agent fiduciaire</v>
          </cell>
        </row>
        <row r="214">
          <cell r="F214" t="str">
            <v>3.3 Honoraires des auditeurs externes</v>
          </cell>
        </row>
        <row r="215">
          <cell r="F215" t="str">
            <v>3.4 Autres services professionnels externes</v>
          </cell>
        </row>
        <row r="216">
          <cell r="F216" t="str">
            <v>3.5 Coûts liés à l’assurance (SPE)</v>
          </cell>
        </row>
        <row r="217">
          <cell r="F217" t="str">
            <v>4.0 Produits de santé - produits pharmaceutiques</v>
          </cell>
        </row>
        <row r="218">
          <cell r="F218" t="str">
            <v>4.1 Médicaments antirétroviraux</v>
          </cell>
        </row>
        <row r="219">
          <cell r="F219" t="str">
            <v>4.2 Médicaments antituberculeux</v>
          </cell>
        </row>
        <row r="220">
          <cell r="F220" t="str">
            <v>4.3 Antipaludéens</v>
          </cell>
        </row>
        <row r="221">
          <cell r="F221" t="str">
            <v>4.4 Médicaments de substitution aux opiacés</v>
          </cell>
        </row>
        <row r="222">
          <cell r="F222" t="str">
            <v>4.5 Médicaments contre les infections opportunistes et les IST</v>
          </cell>
        </row>
        <row r="223">
          <cell r="F223" t="str">
            <v>4.6 Subventions du secteur privé pour les CTA (subventionnement à 4.3)</v>
          </cell>
        </row>
        <row r="224">
          <cell r="F224" t="str">
            <v>4.7 Autres médicaments</v>
          </cell>
        </row>
        <row r="225">
          <cell r="F225" t="str">
            <v>5.0 Produits de santé - produits non pharmaceutiques</v>
          </cell>
        </row>
        <row r="226">
          <cell r="F226" t="str">
            <v>5.1 Moustiquaires imprégnées d'insecticide (MIIL/MII)</v>
          </cell>
        </row>
        <row r="227">
          <cell r="F227" t="str">
            <v>5.2 Préservatifs masculins</v>
          </cell>
        </row>
        <row r="228">
          <cell r="F228" t="str">
            <v>5.3 Préservatifs féminins</v>
          </cell>
        </row>
        <row r="229">
          <cell r="F229" t="str">
            <v>5.4 Test de diagnostic rapide</v>
          </cell>
        </row>
        <row r="230">
          <cell r="F230" t="str">
            <v>5.5 Insecticides</v>
          </cell>
        </row>
        <row r="231">
          <cell r="F231" t="str">
            <v>5.6 Réactifs de laboratoire</v>
          </cell>
        </row>
        <row r="232">
          <cell r="F232" t="str">
            <v>5.7 Seringues et aiguilles</v>
          </cell>
        </row>
        <row r="233">
          <cell r="F233" t="str">
            <v>5.8 Autres consommables</v>
          </cell>
        </row>
        <row r="234">
          <cell r="F234" t="str">
            <v>5.9 Subventions du secteur privé pour les tests de diagnostic rapide (subventionnement à 5.4)</v>
          </cell>
        </row>
        <row r="235">
          <cell r="F235" t="str">
            <v>6.0 Produits de santé - équipement</v>
          </cell>
        </row>
        <row r="236">
          <cell r="F236" t="str">
            <v>6.1 Analyseur de CD4/accessoires</v>
          </cell>
        </row>
        <row r="237">
          <cell r="F237" t="str">
            <v>6.2 Analyseur de mesure de la charge virale du VIH/accessoires</v>
          </cell>
        </row>
        <row r="238">
          <cell r="F238" t="str">
            <v>6.3 Microscopes</v>
          </cell>
        </row>
        <row r="239">
          <cell r="F239" t="str">
            <v>6.4 Équipement de dépistage moléculaire de la tuberculose</v>
          </cell>
        </row>
        <row r="240">
          <cell r="F240" t="str">
            <v>6.5 Coûts de maintenance et du service de l'équipement sanitaire</v>
          </cell>
        </row>
        <row r="241">
          <cell r="F241" t="str">
            <v>6.6 Autre équipement sanitaire</v>
          </cell>
        </row>
        <row r="242">
          <cell r="F242" t="str">
            <v>7.0 Coûts de gestion des achats et des stocks (GAS)</v>
          </cell>
        </row>
        <row r="243">
          <cell r="F243" t="str">
            <v>7.1 coût d'agent et de manutention</v>
          </cell>
        </row>
        <row r="244">
          <cell r="F244" t="str">
            <v>7.2 Coûts de fret et d’assurance (produits de santé)</v>
          </cell>
        </row>
        <row r="245">
          <cell r="F245" t="str">
            <v>7.3 Coûts d'entreposage et de stockage</v>
          </cell>
        </row>
        <row r="246">
          <cell r="F246" t="str">
            <v>7.4 Coûts de distribution dans le pays</v>
          </cell>
        </row>
        <row r="247">
          <cell r="F247" t="str">
            <v>7.5 Coûts liés à l'assurance de la qualité et au contrôle de la qualité (AQ/CQ)</v>
          </cell>
        </row>
        <row r="248">
          <cell r="F248" t="str">
            <v>7.6 Dédouanement lié à la GAS</v>
          </cell>
        </row>
        <row r="249">
          <cell r="F249" t="str">
            <v>7.7 Autres coûts liés à la GAS</v>
          </cell>
        </row>
        <row r="250">
          <cell r="F250" t="str">
            <v>8.0 Infrastructures (INF)</v>
          </cell>
        </row>
        <row r="251">
          <cell r="F251" t="str">
            <v>8.1 Mobilier</v>
          </cell>
        </row>
        <row r="252">
          <cell r="F252" t="str">
            <v>8.2 Rénovation/constructions</v>
          </cell>
        </row>
        <row r="253">
          <cell r="F253" t="str">
            <v>8.3 Coûts liés à la maintenance des infrastructures et autres coûts INF</v>
          </cell>
        </row>
        <row r="254">
          <cell r="F254" t="str">
            <v>9.0 Équipement non sanitaire</v>
          </cell>
        </row>
        <row r="255">
          <cell r="F255" t="str">
            <v>9.1 Matériel informatiquee , ordinateurs, logiciel et applications</v>
          </cell>
        </row>
        <row r="256">
          <cell r="F256" t="str">
            <v>9.2 Véhicules</v>
          </cell>
        </row>
        <row r="257">
          <cell r="F257" t="str">
            <v>9.3 Autre équipement non sanitaire</v>
          </cell>
        </row>
        <row r="258">
          <cell r="F258" t="str">
            <v>9.4 Coûts de maintenance des équipements non sanitaire</v>
          </cell>
        </row>
        <row r="259">
          <cell r="F259" t="str">
            <v>10.0 Support de communication et publications</v>
          </cell>
        </row>
        <row r="260">
          <cell r="F260" t="str">
            <v>10.1 Supports imprimés (formulaires, livres, directives, brochure, dépliants...)</v>
          </cell>
        </row>
        <row r="261">
          <cell r="F261" t="str">
            <v>10.2 Spots et programmes télévisés/radiodiffusés</v>
          </cell>
        </row>
        <row r="262">
          <cell r="F262" t="str">
            <v>10.3 Coût du matériel promotionnel (t-shirts, tasses, épinglettes...) et d'autres supports de communication et publications</v>
          </cell>
        </row>
        <row r="263">
          <cell r="F263" t="str">
            <v>11.0 Coûts liés à la gestion du programme</v>
          </cell>
        </row>
        <row r="264">
          <cell r="F264" t="str">
            <v>11.1 Coûts liés au bureaux</v>
          </cell>
        </row>
        <row r="265">
          <cell r="F265" t="str">
            <v>11.2 Impots et taxes non récupérables</v>
          </cell>
        </row>
        <row r="266">
          <cell r="F266" t="str">
            <v>11.3 Recouvrement des coûts indirects (RCI) - axé sur le pourcentage</v>
          </cell>
        </row>
        <row r="267">
          <cell r="F267" t="str">
            <v>11.4 Autres coûts liés à la gestion du programme</v>
          </cell>
        </row>
        <row r="268">
          <cell r="F268" t="str">
            <v>12.0 Aide à la subsistance apportée aux Malades/population cible</v>
          </cell>
        </row>
        <row r="269">
          <cell r="F269" t="str">
            <v>12.1 Soutien aux orphelins et enfants vulnérables (coût de scolarité, uniformes, livres...)</v>
          </cell>
        </row>
        <row r="270">
          <cell r="F270" t="str">
            <v>12.2 Aide alimentaire</v>
          </cell>
        </row>
        <row r="271">
          <cell r="F271" t="str">
            <v>12.3 Incitations financières / versement accordés aux patients / bénéficiaires / conseillers / médiateurs</v>
          </cell>
        </row>
        <row r="272">
          <cell r="F272" t="str">
            <v>12.4 Micro-crédits et micro-subventions</v>
          </cell>
        </row>
        <row r="273">
          <cell r="F273" t="str">
            <v>12.5 Autres coûts liés à l'aide à la subsistance apportée aux clients/population cible</v>
          </cell>
        </row>
        <row r="274">
          <cell r="F274" t="str">
            <v>13.0 Financement axé sur les résultats (FAR)</v>
          </cell>
        </row>
        <row r="275">
          <cell r="F275" t="str">
            <v>13.1 Financement axé sur les résultats</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8">
          <cell r="D8" t="str">
            <v>production</v>
          </cell>
        </row>
      </sheetData>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row r="5">
          <cell r="C5">
            <v>1</v>
          </cell>
        </row>
      </sheetData>
      <sheetData sheetId="337" refreshError="1"/>
      <sheetData sheetId="338" refreshError="1"/>
      <sheetData sheetId="339" refreshError="1"/>
      <sheetData sheetId="340" refreshError="1"/>
      <sheetData sheetId="341">
        <row r="5">
          <cell r="C5">
            <v>1</v>
          </cell>
        </row>
      </sheetData>
      <sheetData sheetId="342" refreshError="1"/>
      <sheetData sheetId="343" refreshError="1"/>
      <sheetData sheetId="344" refreshError="1"/>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refreshError="1"/>
      <sheetData sheetId="368" refreshError="1"/>
      <sheetData sheetId="369" refreshError="1"/>
      <sheetData sheetId="370" refreshError="1"/>
      <sheetData sheetId="371">
        <row r="8">
          <cell r="AB8">
            <v>2.1405128205128205</v>
          </cell>
        </row>
      </sheetData>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refreshError="1"/>
      <sheetData sheetId="387" refreshError="1"/>
      <sheetData sheetId="388" refreshError="1"/>
      <sheetData sheetId="389"/>
      <sheetData sheetId="390"/>
      <sheetData sheetId="391"/>
      <sheetData sheetId="392"/>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row r="5">
          <cell r="C5">
            <v>1</v>
          </cell>
        </row>
      </sheetData>
      <sheetData sheetId="435">
        <row r="5">
          <cell r="C5">
            <v>1</v>
          </cell>
        </row>
      </sheetData>
      <sheetData sheetId="436">
        <row r="5">
          <cell r="C5">
            <v>1</v>
          </cell>
        </row>
      </sheetData>
      <sheetData sheetId="437" refreshError="1"/>
      <sheetData sheetId="438">
        <row r="5">
          <cell r="C5">
            <v>1</v>
          </cell>
        </row>
      </sheetData>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sheetData sheetId="500" refreshError="1"/>
      <sheetData sheetId="501">
        <row r="8">
          <cell r="AB8">
            <v>2.1405128205128205</v>
          </cell>
        </row>
      </sheetData>
      <sheetData sheetId="502" refreshError="1"/>
      <sheetData sheetId="503"/>
      <sheetData sheetId="504"/>
      <sheetData sheetId="505"/>
      <sheetData sheetId="506"/>
      <sheetData sheetId="507"/>
      <sheetData sheetId="508" refreshError="1"/>
      <sheetData sheetId="509" refreshError="1"/>
      <sheetData sheetId="510" refreshError="1"/>
      <sheetData sheetId="511">
        <row r="12">
          <cell r="F12">
            <v>6.137061029662461</v>
          </cell>
        </row>
      </sheetData>
      <sheetData sheetId="512" refreshError="1"/>
      <sheetData sheetId="513"/>
      <sheetData sheetId="514"/>
      <sheetData sheetId="515"/>
      <sheetData sheetId="516"/>
      <sheetData sheetId="517"/>
      <sheetData sheetId="518"/>
      <sheetData sheetId="519"/>
      <sheetData sheetId="520"/>
      <sheetData sheetId="521"/>
      <sheetData sheetId="522"/>
      <sheetData sheetId="523" refreshError="1"/>
      <sheetData sheetId="524" refreshError="1"/>
      <sheetData sheetId="525" refreshError="1"/>
      <sheetData sheetId="526" refreshError="1"/>
      <sheetData sheetId="527">
        <row r="12">
          <cell r="F12">
            <v>6.137061029662461</v>
          </cell>
        </row>
      </sheetData>
      <sheetData sheetId="528"/>
      <sheetData sheetId="529">
        <row r="12">
          <cell r="F12">
            <v>6.137061029662461</v>
          </cell>
        </row>
      </sheetData>
      <sheetData sheetId="530"/>
      <sheetData sheetId="531">
        <row r="12">
          <cell r="F12">
            <v>6.137061029662461</v>
          </cell>
        </row>
      </sheetData>
      <sheetData sheetId="532"/>
      <sheetData sheetId="533">
        <row r="12">
          <cell r="F12">
            <v>6.137061029662461</v>
          </cell>
        </row>
      </sheetData>
      <sheetData sheetId="534"/>
      <sheetData sheetId="535">
        <row r="12">
          <cell r="F12">
            <v>6.137061029662461</v>
          </cell>
        </row>
      </sheetData>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ow r="12">
          <cell r="F12">
            <v>6.137061029662461</v>
          </cell>
        </row>
      </sheetData>
      <sheetData sheetId="560">
        <row r="12">
          <cell r="F12">
            <v>6.137061029662461</v>
          </cell>
        </row>
      </sheetData>
      <sheetData sheetId="561">
        <row r="12">
          <cell r="F12">
            <v>6.137061029662461</v>
          </cell>
        </row>
      </sheetData>
      <sheetData sheetId="562"/>
      <sheetData sheetId="563"/>
      <sheetData sheetId="564" refreshError="1"/>
      <sheetData sheetId="565">
        <row r="8">
          <cell r="AB8">
            <v>2.1405128205128205</v>
          </cell>
        </row>
      </sheetData>
      <sheetData sheetId="566">
        <row r="8">
          <cell r="AB8">
            <v>2.1405128205128205</v>
          </cell>
        </row>
      </sheetData>
      <sheetData sheetId="567">
        <row r="12">
          <cell r="F12">
            <v>6.137061029662461</v>
          </cell>
        </row>
      </sheetData>
      <sheetData sheetId="568"/>
      <sheetData sheetId="569"/>
      <sheetData sheetId="570">
        <row r="12">
          <cell r="F12">
            <v>6.137061029662461</v>
          </cell>
        </row>
      </sheetData>
      <sheetData sheetId="571">
        <row r="5">
          <cell r="C5">
            <v>1</v>
          </cell>
        </row>
      </sheetData>
      <sheetData sheetId="572"/>
      <sheetData sheetId="573"/>
      <sheetData sheetId="574" refreshError="1"/>
      <sheetData sheetId="575" refreshError="1"/>
      <sheetData sheetId="576">
        <row r="8">
          <cell r="D8" t="str">
            <v>production</v>
          </cell>
        </row>
      </sheetData>
      <sheetData sheetId="577">
        <row r="8">
          <cell r="D8" t="str">
            <v>production</v>
          </cell>
        </row>
      </sheetData>
      <sheetData sheetId="578">
        <row r="12">
          <cell r="F12">
            <v>6.137061029662461</v>
          </cell>
        </row>
      </sheetData>
      <sheetData sheetId="579"/>
      <sheetData sheetId="580"/>
      <sheetData sheetId="581"/>
      <sheetData sheetId="582">
        <row r="5">
          <cell r="C5">
            <v>1</v>
          </cell>
        </row>
      </sheetData>
      <sheetData sheetId="583"/>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ow r="8">
          <cell r="D8" t="str">
            <v>production</v>
          </cell>
        </row>
      </sheetData>
      <sheetData sheetId="603">
        <row r="8">
          <cell r="D8" t="str">
            <v>production</v>
          </cell>
        </row>
      </sheetData>
      <sheetData sheetId="604">
        <row r="8">
          <cell r="D8" t="str">
            <v>production</v>
          </cell>
        </row>
      </sheetData>
      <sheetData sheetId="605">
        <row r="8">
          <cell r="D8" t="str">
            <v>production</v>
          </cell>
        </row>
      </sheetData>
      <sheetData sheetId="606">
        <row r="8">
          <cell r="D8" t="str">
            <v>production</v>
          </cell>
        </row>
      </sheetData>
      <sheetData sheetId="607">
        <row r="8">
          <cell r="D8" t="str">
            <v>production</v>
          </cell>
        </row>
      </sheetData>
      <sheetData sheetId="608">
        <row r="8">
          <cell r="D8" t="str">
            <v>production</v>
          </cell>
        </row>
      </sheetData>
      <sheetData sheetId="609">
        <row r="8">
          <cell r="AC8">
            <v>2.028</v>
          </cell>
        </row>
      </sheetData>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refreshError="1"/>
      <sheetData sheetId="627"/>
      <sheetData sheetId="628"/>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ow r="5">
          <cell r="C5">
            <v>1</v>
          </cell>
        </row>
      </sheetData>
      <sheetData sheetId="639">
        <row r="5">
          <cell r="C5">
            <v>1</v>
          </cell>
        </row>
      </sheetData>
      <sheetData sheetId="640" refreshError="1"/>
      <sheetData sheetId="641" refreshError="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ow r="8">
          <cell r="AB8">
            <v>2.1405128205128205</v>
          </cell>
        </row>
      </sheetData>
      <sheetData sheetId="663">
        <row r="8">
          <cell r="D8" t="str">
            <v>production</v>
          </cell>
        </row>
      </sheetData>
      <sheetData sheetId="664">
        <row r="8">
          <cell r="AB8">
            <v>2.1405128205128205</v>
          </cell>
        </row>
      </sheetData>
      <sheetData sheetId="665">
        <row r="8">
          <cell r="D8" t="str">
            <v>production</v>
          </cell>
        </row>
      </sheetData>
      <sheetData sheetId="666">
        <row r="8">
          <cell r="AB8">
            <v>2.1405128205128205</v>
          </cell>
        </row>
      </sheetData>
      <sheetData sheetId="667">
        <row r="8">
          <cell r="D8" t="str">
            <v>production</v>
          </cell>
        </row>
      </sheetData>
      <sheetData sheetId="668">
        <row r="8">
          <cell r="AB8">
            <v>2.1405128205128205</v>
          </cell>
        </row>
      </sheetData>
      <sheetData sheetId="669">
        <row r="8">
          <cell r="AB8">
            <v>2.1405128205128205</v>
          </cell>
        </row>
      </sheetData>
      <sheetData sheetId="670">
        <row r="8">
          <cell r="AB8">
            <v>2.1405128205128201</v>
          </cell>
        </row>
      </sheetData>
      <sheetData sheetId="671">
        <row r="8">
          <cell r="AB8">
            <v>2.1405128205128201</v>
          </cell>
        </row>
      </sheetData>
      <sheetData sheetId="672">
        <row r="5">
          <cell r="C5">
            <v>1</v>
          </cell>
        </row>
      </sheetData>
      <sheetData sheetId="673">
        <row r="8">
          <cell r="D8" t="str">
            <v>production</v>
          </cell>
        </row>
      </sheetData>
      <sheetData sheetId="674">
        <row r="8">
          <cell r="D8" t="str">
            <v>production</v>
          </cell>
        </row>
      </sheetData>
      <sheetData sheetId="675">
        <row r="8">
          <cell r="D8" t="str">
            <v>production</v>
          </cell>
        </row>
      </sheetData>
      <sheetData sheetId="676">
        <row r="8">
          <cell r="D8" t="str">
            <v>production</v>
          </cell>
        </row>
      </sheetData>
      <sheetData sheetId="677">
        <row r="8">
          <cell r="D8" t="str">
            <v>production</v>
          </cell>
        </row>
      </sheetData>
      <sheetData sheetId="678">
        <row r="8">
          <cell r="D8" t="str">
            <v>production</v>
          </cell>
        </row>
      </sheetData>
      <sheetData sheetId="679">
        <row r="8">
          <cell r="D8" t="str">
            <v>production</v>
          </cell>
        </row>
      </sheetData>
      <sheetData sheetId="680">
        <row r="8">
          <cell r="D8" t="str">
            <v>production</v>
          </cell>
        </row>
      </sheetData>
      <sheetData sheetId="681">
        <row r="8">
          <cell r="D8" t="str">
            <v>production</v>
          </cell>
        </row>
      </sheetData>
      <sheetData sheetId="682">
        <row r="8">
          <cell r="D8" t="str">
            <v>production</v>
          </cell>
        </row>
      </sheetData>
      <sheetData sheetId="683">
        <row r="5">
          <cell r="C5">
            <v>1</v>
          </cell>
        </row>
      </sheetData>
      <sheetData sheetId="684">
        <row r="8">
          <cell r="D8" t="str">
            <v>production</v>
          </cell>
        </row>
      </sheetData>
      <sheetData sheetId="685">
        <row r="8">
          <cell r="D8" t="str">
            <v>production</v>
          </cell>
        </row>
      </sheetData>
      <sheetData sheetId="686">
        <row r="8">
          <cell r="D8" t="str">
            <v>production</v>
          </cell>
        </row>
      </sheetData>
      <sheetData sheetId="687">
        <row r="8">
          <cell r="D8" t="str">
            <v>production</v>
          </cell>
        </row>
      </sheetData>
      <sheetData sheetId="688">
        <row r="8">
          <cell r="D8" t="str">
            <v>production</v>
          </cell>
        </row>
      </sheetData>
      <sheetData sheetId="689">
        <row r="8">
          <cell r="D8" t="str">
            <v>production</v>
          </cell>
        </row>
      </sheetData>
      <sheetData sheetId="690">
        <row r="8">
          <cell r="D8" t="str">
            <v>production</v>
          </cell>
        </row>
      </sheetData>
      <sheetData sheetId="691">
        <row r="8">
          <cell r="D8" t="str">
            <v>production</v>
          </cell>
        </row>
      </sheetData>
      <sheetData sheetId="692">
        <row r="8">
          <cell r="AB8">
            <v>2.1405128205128205</v>
          </cell>
        </row>
      </sheetData>
      <sheetData sheetId="693">
        <row r="8">
          <cell r="D8" t="str">
            <v>production</v>
          </cell>
        </row>
      </sheetData>
      <sheetData sheetId="694">
        <row r="8">
          <cell r="D8" t="str">
            <v>production</v>
          </cell>
        </row>
      </sheetData>
      <sheetData sheetId="695">
        <row r="8">
          <cell r="AB8">
            <v>2.1405128205128205</v>
          </cell>
        </row>
      </sheetData>
      <sheetData sheetId="696">
        <row r="8">
          <cell r="AB8">
            <v>2.1405128205128205</v>
          </cell>
        </row>
      </sheetData>
      <sheetData sheetId="697"/>
      <sheetData sheetId="698">
        <row r="5">
          <cell r="C5">
            <v>1</v>
          </cell>
        </row>
      </sheetData>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AB8">
            <v>2.1405128205128205</v>
          </cell>
        </row>
      </sheetData>
      <sheetData sheetId="709">
        <row r="8">
          <cell r="D8" t="str">
            <v>production</v>
          </cell>
        </row>
      </sheetData>
      <sheetData sheetId="710">
        <row r="8">
          <cell r="AB8">
            <v>2.1405128205128205</v>
          </cell>
        </row>
      </sheetData>
      <sheetData sheetId="711">
        <row r="8">
          <cell r="D8" t="str">
            <v>production</v>
          </cell>
        </row>
      </sheetData>
      <sheetData sheetId="712">
        <row r="8">
          <cell r="AB8">
            <v>2.1405128205128205</v>
          </cell>
        </row>
      </sheetData>
      <sheetData sheetId="713">
        <row r="8">
          <cell r="D8" t="str">
            <v>production</v>
          </cell>
        </row>
      </sheetData>
      <sheetData sheetId="714">
        <row r="8">
          <cell r="D8" t="str">
            <v>production</v>
          </cell>
        </row>
      </sheetData>
      <sheetData sheetId="715">
        <row r="8">
          <cell r="AB8">
            <v>2.1405128205128205</v>
          </cell>
        </row>
      </sheetData>
      <sheetData sheetId="716">
        <row r="8">
          <cell r="AC8">
            <v>2.028</v>
          </cell>
        </row>
      </sheetData>
      <sheetData sheetId="717">
        <row r="8">
          <cell r="D8" t="str">
            <v>production</v>
          </cell>
        </row>
      </sheetData>
      <sheetData sheetId="718">
        <row r="8">
          <cell r="D8" t="str">
            <v>production</v>
          </cell>
        </row>
      </sheetData>
      <sheetData sheetId="719"/>
      <sheetData sheetId="720"/>
      <sheetData sheetId="721"/>
      <sheetData sheetId="722"/>
      <sheetData sheetId="723"/>
      <sheetData sheetId="724"/>
      <sheetData sheetId="725"/>
      <sheetData sheetId="726"/>
      <sheetData sheetId="727">
        <row r="8">
          <cell r="D8" t="str">
            <v>production</v>
          </cell>
        </row>
      </sheetData>
      <sheetData sheetId="728">
        <row r="8">
          <cell r="D8" t="str">
            <v>production</v>
          </cell>
        </row>
      </sheetData>
      <sheetData sheetId="729">
        <row r="8">
          <cell r="AB8">
            <v>2.1405128205128205</v>
          </cell>
        </row>
      </sheetData>
      <sheetData sheetId="730">
        <row r="8">
          <cell r="D8" t="str">
            <v>production</v>
          </cell>
        </row>
      </sheetData>
      <sheetData sheetId="731">
        <row r="8">
          <cell r="AB8">
            <v>2.1405128205128205</v>
          </cell>
        </row>
      </sheetData>
      <sheetData sheetId="732">
        <row r="8">
          <cell r="D8" t="str">
            <v>production</v>
          </cell>
        </row>
      </sheetData>
      <sheetData sheetId="733">
        <row r="8">
          <cell r="D8" t="str">
            <v>production</v>
          </cell>
        </row>
      </sheetData>
      <sheetData sheetId="734">
        <row r="8">
          <cell r="AB8">
            <v>2.1405128205128205</v>
          </cell>
        </row>
      </sheetData>
      <sheetData sheetId="735">
        <row r="8">
          <cell r="D8" t="str">
            <v>production</v>
          </cell>
        </row>
      </sheetData>
      <sheetData sheetId="736">
        <row r="8">
          <cell r="D8" t="str">
            <v>production</v>
          </cell>
        </row>
      </sheetData>
      <sheetData sheetId="737">
        <row r="8">
          <cell r="D8" t="str">
            <v>production</v>
          </cell>
        </row>
      </sheetData>
      <sheetData sheetId="738"/>
      <sheetData sheetId="739"/>
      <sheetData sheetId="740"/>
      <sheetData sheetId="741"/>
      <sheetData sheetId="742"/>
      <sheetData sheetId="743"/>
      <sheetData sheetId="744"/>
      <sheetData sheetId="745"/>
      <sheetData sheetId="746">
        <row r="8">
          <cell r="D8" t="str">
            <v>production</v>
          </cell>
        </row>
      </sheetData>
      <sheetData sheetId="747">
        <row r="8">
          <cell r="D8" t="str">
            <v>production</v>
          </cell>
        </row>
      </sheetData>
      <sheetData sheetId="748">
        <row r="8">
          <cell r="D8" t="str">
            <v>production</v>
          </cell>
        </row>
      </sheetData>
      <sheetData sheetId="749">
        <row r="8">
          <cell r="D8" t="str">
            <v>production</v>
          </cell>
        </row>
      </sheetData>
      <sheetData sheetId="750">
        <row r="8">
          <cell r="AB8">
            <v>2.1405128205128205</v>
          </cell>
        </row>
      </sheetData>
      <sheetData sheetId="751">
        <row r="8">
          <cell r="D8" t="str">
            <v>production</v>
          </cell>
        </row>
      </sheetData>
      <sheetData sheetId="752">
        <row r="8">
          <cell r="D8" t="str">
            <v>production</v>
          </cell>
        </row>
      </sheetData>
      <sheetData sheetId="753">
        <row r="8">
          <cell r="AB8">
            <v>2.1405128205128205</v>
          </cell>
        </row>
      </sheetData>
      <sheetData sheetId="754">
        <row r="8">
          <cell r="D8" t="str">
            <v>production</v>
          </cell>
        </row>
      </sheetData>
      <sheetData sheetId="755">
        <row r="8">
          <cell r="D8" t="str">
            <v>production</v>
          </cell>
        </row>
      </sheetData>
      <sheetData sheetId="756">
        <row r="8">
          <cell r="D8" t="str">
            <v>production</v>
          </cell>
        </row>
      </sheetData>
      <sheetData sheetId="757"/>
      <sheetData sheetId="758"/>
      <sheetData sheetId="759"/>
      <sheetData sheetId="760"/>
      <sheetData sheetId="761"/>
      <sheetData sheetId="762"/>
      <sheetData sheetId="763"/>
      <sheetData sheetId="764"/>
      <sheetData sheetId="765">
        <row r="5">
          <cell r="C5">
            <v>1</v>
          </cell>
        </row>
      </sheetData>
      <sheetData sheetId="766">
        <row r="5">
          <cell r="C5">
            <v>1</v>
          </cell>
        </row>
      </sheetData>
      <sheetData sheetId="767">
        <row r="5">
          <cell r="C5">
            <v>1</v>
          </cell>
        </row>
      </sheetData>
      <sheetData sheetId="768"/>
      <sheetData sheetId="769" refreshError="1"/>
      <sheetData sheetId="770" refreshError="1"/>
      <sheetData sheetId="771" refreshError="1"/>
      <sheetData sheetId="772" refreshError="1"/>
      <sheetData sheetId="773"/>
      <sheetData sheetId="774"/>
      <sheetData sheetId="775"/>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ow r="5">
          <cell r="C5">
            <v>1</v>
          </cell>
        </row>
      </sheetData>
      <sheetData sheetId="791">
        <row r="5">
          <cell r="C5">
            <v>1</v>
          </cell>
        </row>
      </sheetData>
      <sheetData sheetId="792">
        <row r="5">
          <cell r="C5">
            <v>1</v>
          </cell>
        </row>
      </sheetData>
      <sheetData sheetId="793">
        <row r="5">
          <cell r="C5">
            <v>1</v>
          </cell>
        </row>
      </sheetData>
      <sheetData sheetId="794">
        <row r="5">
          <cell r="C5">
            <v>1</v>
          </cell>
        </row>
      </sheetData>
      <sheetData sheetId="795" refreshError="1"/>
      <sheetData sheetId="796">
        <row r="5">
          <cell r="C5">
            <v>1</v>
          </cell>
        </row>
      </sheetData>
      <sheetData sheetId="797">
        <row r="5">
          <cell r="C5">
            <v>1</v>
          </cell>
        </row>
      </sheetData>
      <sheetData sheetId="798">
        <row r="5">
          <cell r="C5">
            <v>1</v>
          </cell>
        </row>
      </sheetData>
      <sheetData sheetId="799">
        <row r="5">
          <cell r="C5">
            <v>1</v>
          </cell>
        </row>
      </sheetData>
      <sheetData sheetId="800">
        <row r="5">
          <cell r="C5">
            <v>1</v>
          </cell>
        </row>
      </sheetData>
      <sheetData sheetId="801">
        <row r="5">
          <cell r="C5">
            <v>1</v>
          </cell>
        </row>
      </sheetData>
      <sheetData sheetId="802">
        <row r="5">
          <cell r="C5">
            <v>1</v>
          </cell>
        </row>
      </sheetData>
      <sheetData sheetId="803">
        <row r="5">
          <cell r="C5">
            <v>1</v>
          </cell>
        </row>
      </sheetData>
      <sheetData sheetId="804">
        <row r="5">
          <cell r="C5">
            <v>1</v>
          </cell>
        </row>
      </sheetData>
      <sheetData sheetId="805"/>
      <sheetData sheetId="806"/>
      <sheetData sheetId="807">
        <row r="5">
          <cell r="C5">
            <v>1</v>
          </cell>
        </row>
      </sheetData>
      <sheetData sheetId="808" refreshError="1"/>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row r="5">
          <cell r="C5">
            <v>0</v>
          </cell>
        </row>
      </sheetData>
      <sheetData sheetId="821"/>
      <sheetData sheetId="822"/>
      <sheetData sheetId="823"/>
      <sheetData sheetId="824"/>
      <sheetData sheetId="825"/>
      <sheetData sheetId="826"/>
      <sheetData sheetId="827">
        <row r="5">
          <cell r="C5">
            <v>1</v>
          </cell>
        </row>
      </sheetData>
      <sheetData sheetId="828">
        <row r="5">
          <cell r="C5">
            <v>1</v>
          </cell>
        </row>
      </sheetData>
      <sheetData sheetId="829">
        <row r="5">
          <cell r="C5">
            <v>1</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row r="5">
          <cell r="C5">
            <v>0</v>
          </cell>
        </row>
      </sheetData>
      <sheetData sheetId="843"/>
      <sheetData sheetId="844"/>
      <sheetData sheetId="845"/>
      <sheetData sheetId="846"/>
      <sheetData sheetId="847"/>
      <sheetData sheetId="848"/>
      <sheetData sheetId="849">
        <row r="5">
          <cell r="C5">
            <v>1</v>
          </cell>
        </row>
      </sheetData>
      <sheetData sheetId="850">
        <row r="5">
          <cell r="C5">
            <v>1</v>
          </cell>
        </row>
      </sheetData>
      <sheetData sheetId="851">
        <row r="5">
          <cell r="C5">
            <v>1</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row r="5">
          <cell r="C5">
            <v>0</v>
          </cell>
        </row>
      </sheetData>
      <sheetData sheetId="865"/>
      <sheetData sheetId="866"/>
      <sheetData sheetId="867"/>
      <sheetData sheetId="868"/>
      <sheetData sheetId="869"/>
      <sheetData sheetId="870"/>
      <sheetData sheetId="871">
        <row r="5">
          <cell r="C5">
            <v>1</v>
          </cell>
        </row>
      </sheetData>
      <sheetData sheetId="872">
        <row r="5">
          <cell r="C5">
            <v>1</v>
          </cell>
        </row>
      </sheetData>
      <sheetData sheetId="873">
        <row r="5">
          <cell r="C5">
            <v>1</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row r="5">
          <cell r="C5">
            <v>0</v>
          </cell>
        </row>
      </sheetData>
      <sheetData sheetId="887"/>
      <sheetData sheetId="888"/>
      <sheetData sheetId="889"/>
      <sheetData sheetId="890"/>
      <sheetData sheetId="891"/>
      <sheetData sheetId="892"/>
      <sheetData sheetId="893" refreshError="1"/>
      <sheetData sheetId="894"/>
      <sheetData sheetId="895" refreshError="1"/>
      <sheetData sheetId="896" refreshError="1"/>
      <sheetData sheetId="897" refreshError="1"/>
      <sheetData sheetId="898" refreshError="1"/>
      <sheetData sheetId="899"/>
      <sheetData sheetId="900"/>
      <sheetData sheetId="901"/>
      <sheetData sheetId="902"/>
      <sheetData sheetId="903"/>
      <sheetData sheetId="904"/>
      <sheetData sheetId="905">
        <row r="580">
          <cell r="B580" t="str">
            <v>JV500</v>
          </cell>
        </row>
      </sheetData>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sheetData sheetId="937"/>
      <sheetData sheetId="938" refreshError="1"/>
      <sheetData sheetId="939" refreshError="1"/>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sheetData sheetId="952"/>
      <sheetData sheetId="953"/>
      <sheetData sheetId="954"/>
      <sheetData sheetId="955"/>
      <sheetData sheetId="956"/>
      <sheetData sheetId="957"/>
      <sheetData sheetId="958"/>
      <sheetData sheetId="959"/>
      <sheetData sheetId="960"/>
      <sheetData sheetId="961"/>
      <sheetData sheetId="962" refreshError="1"/>
      <sheetData sheetId="963" refreshError="1"/>
      <sheetData sheetId="964" refreshError="1"/>
      <sheetData sheetId="965" refreshError="1"/>
      <sheetData sheetId="966" refreshError="1"/>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ow r="2">
          <cell r="A2" t="str">
            <v>S/N</v>
          </cell>
        </row>
      </sheetData>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row r="2">
          <cell r="B2">
            <v>0</v>
          </cell>
        </row>
      </sheetData>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refreshError="1"/>
      <sheetData sheetId="1306" refreshError="1"/>
      <sheetData sheetId="1307" refreshError="1"/>
      <sheetData sheetId="1308" refreshError="1"/>
      <sheetData sheetId="1309" refreshError="1"/>
      <sheetData sheetId="1310">
        <row r="11">
          <cell r="B11">
            <v>40373</v>
          </cell>
        </row>
      </sheetData>
      <sheetData sheetId="1311" refreshError="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row r="313">
          <cell r="Q313" t="str">
            <v>Loan Officers</v>
          </cell>
        </row>
      </sheetData>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refreshError="1"/>
      <sheetData sheetId="1350"/>
      <sheetData sheetId="1351" refreshError="1"/>
      <sheetData sheetId="1352" refreshError="1"/>
      <sheetData sheetId="1353"/>
      <sheetData sheetId="1354">
        <row r="3">
          <cell r="G3" t="str">
            <v>PM: IM Program Management-NSD</v>
          </cell>
        </row>
      </sheetData>
      <sheetData sheetId="1355"/>
      <sheetData sheetId="1356"/>
      <sheetData sheetId="1357"/>
      <sheetData sheetId="1358" refreshError="1"/>
      <sheetData sheetId="1359" refreshError="1"/>
      <sheetData sheetId="1360">
        <row r="151">
          <cell r="B151" t="str">
            <v>Office Lease/Rent Yaounde</v>
          </cell>
        </row>
      </sheetData>
      <sheetData sheetId="1361"/>
      <sheetData sheetId="1362" refreshError="1"/>
      <sheetData sheetId="1363"/>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sheetData sheetId="1380"/>
      <sheetData sheetId="1381"/>
      <sheetData sheetId="1382"/>
      <sheetData sheetId="1383"/>
      <sheetData sheetId="1384"/>
      <sheetData sheetId="1385"/>
      <sheetData sheetId="1386"/>
      <sheetData sheetId="1387"/>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ow r="31">
          <cell r="J31" t="str">
            <v>Mr.</v>
          </cell>
        </row>
      </sheetData>
      <sheetData sheetId="1410"/>
      <sheetData sheetId="1411" refreshError="1"/>
      <sheetData sheetId="1412" refreshError="1"/>
      <sheetData sheetId="1413"/>
      <sheetData sheetId="1414"/>
      <sheetData sheetId="1415"/>
      <sheetData sheetId="1416"/>
      <sheetData sheetId="1417"/>
      <sheetData sheetId="1418"/>
      <sheetData sheetId="1419"/>
      <sheetData sheetId="1420"/>
      <sheetData sheetId="1421"/>
      <sheetData sheetId="1422"/>
      <sheetData sheetId="1423"/>
      <sheetData sheetId="1424" refreshError="1"/>
      <sheetData sheetId="1425"/>
      <sheetData sheetId="14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 Plan"/>
      <sheetName val="COPFunctionalArea"/>
      <sheetName val="BudgetCodes"/>
      <sheetName val="Revised Workplan template (0000"/>
      <sheetName val="Revised%20Workplan%20template%2"/>
      <sheetName val="Inputs"/>
      <sheetName val="Other rates"/>
      <sheetName val="Sheet1"/>
      <sheetName val="1. SUMMARY"/>
      <sheetName val="2. PERSONNEL"/>
      <sheetName val="NY Base Salary"/>
      <sheetName val="Lists"/>
      <sheetName val="D"/>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bodia"/>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4"/>
      <sheetName val="424A pg 1"/>
      <sheetName val="424A pg 2"/>
      <sheetName val="Qns&amp;answ"/>
      <sheetName val="Summary Budget"/>
      <sheetName val="Detailed-Deloitte"/>
      <sheetName val="Staff LOE-Deloitte"/>
      <sheetName val="Other rates"/>
      <sheetName val="APS Proposal budget-Deloitte-13"/>
    </sheetNames>
    <sheetDataSet>
      <sheetData sheetId="0"/>
      <sheetData sheetId="1"/>
      <sheetData sheetId="2"/>
      <sheetData sheetId="3"/>
      <sheetData sheetId="4"/>
      <sheetData sheetId="5"/>
      <sheetData sheetId="6"/>
      <sheetData sheetId="7">
        <row r="9">
          <cell r="J9">
            <v>82</v>
          </cell>
        </row>
        <row r="20">
          <cell r="E20">
            <v>1350</v>
          </cell>
        </row>
      </sheetData>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4"/>
      <sheetName val="424A pg 1"/>
      <sheetName val="424A pg 2"/>
      <sheetName val="Qns&amp;answ"/>
      <sheetName val="Summary Budget"/>
      <sheetName val="Detailed-Deloitte"/>
      <sheetName val="Staff LOE-Deloitte"/>
      <sheetName val="Other rates"/>
      <sheetName val="APS Proposal budget-Deloitte-13"/>
      <sheetName val="Other_rates"/>
      <sheetName val="Monthly Budget"/>
      <sheetName val="Lists"/>
      <sheetName val="Sheet1"/>
      <sheetName val="1. SUMMARY"/>
      <sheetName val="2. PERSONNEL"/>
    </sheetNames>
    <sheetDataSet>
      <sheetData sheetId="0"/>
      <sheetData sheetId="1"/>
      <sheetData sheetId="2"/>
      <sheetData sheetId="3"/>
      <sheetData sheetId="4"/>
      <sheetData sheetId="5"/>
      <sheetData sheetId="6"/>
      <sheetData sheetId="7">
        <row r="9">
          <cell r="J9">
            <v>82</v>
          </cell>
        </row>
        <row r="20">
          <cell r="E20">
            <v>1350</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
      <sheetName val="Org Break Down BOE"/>
      <sheetName val="TAN HQ loe "/>
      <sheetName val="IT Price List"/>
      <sheetName val="Tan IT"/>
      <sheetName val="Misc Local Exp"/>
      <sheetName val="SF424"/>
      <sheetName val="SF424A1"/>
      <sheetName val="SF424A2"/>
      <sheetName val="Budget Break down BOE"/>
      <sheetName val="Summary"/>
      <sheetName val="Pact Details"/>
      <sheetName val="Pact Travel"/>
      <sheetName val="Pact Activities"/>
      <sheetName val="LOE Policy"/>
      <sheetName val="IT Policy"/>
      <sheetName val="IT Pricing List"/>
      <sheetName val="Pact Cost Allocation Method "/>
      <sheetName val="Pact Procurement Plan"/>
      <sheetName val="Cost Assumptions"/>
      <sheetName val="Cost Share"/>
      <sheetName val="Instructions_"/>
      <sheetName val="Org_Break_Down_BOE"/>
      <sheetName val="TAN_HQ_loe_"/>
      <sheetName val="IT_Price_List"/>
      <sheetName val="Tan_IT"/>
      <sheetName val="Misc_Local_Exp"/>
      <sheetName val="Budget_Break_down_BOE"/>
      <sheetName val="Pact_Details"/>
      <sheetName val="Pact_Travel"/>
      <sheetName val="Pact_Activities"/>
      <sheetName val="LOE_Policy"/>
      <sheetName val="IT_Policy"/>
      <sheetName val="IT_Pricing_List"/>
      <sheetName val="Pact_Cost_Allocation_Method_"/>
      <sheetName val="Pact_Procurement_Plan"/>
      <sheetName val="Cost_Assumptions"/>
      <sheetName val="Cost_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3-Adv Reimb Expense Report"/>
      <sheetName val="Activities Expense Report"/>
      <sheetName val="Monthly Budget"/>
      <sheetName val="Activities &amp; Program Mapping"/>
      <sheetName val="Legend"/>
      <sheetName val="Sites Abbr"/>
      <sheetName val="Sites"/>
      <sheetName val="Expense Type"/>
      <sheetName val="Expense Mapping"/>
      <sheetName val="Updated Expense report  modifie"/>
      <sheetName val="Data Validation"/>
    </sheetNames>
    <sheetDataSet>
      <sheetData sheetId="0"/>
      <sheetData sheetId="1"/>
      <sheetData sheetId="2"/>
      <sheetData sheetId="3">
        <row r="1">
          <cell r="AB1" t="str">
            <v>Project Codes</v>
          </cell>
        </row>
      </sheetData>
      <sheetData sheetId="4"/>
      <sheetData sheetId="5"/>
      <sheetData sheetId="6"/>
      <sheetData sheetId="7"/>
      <sheetData sheetId="8"/>
      <sheetData sheetId="9" refreshError="1"/>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1"/>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Pact"/>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tional"/>
      <sheetName val="LT"/>
      <sheetName val="ST"/>
      <sheetName val="National"/>
      <sheetName val="Shortlist"/>
      <sheetName val="Data"/>
      <sheetName val="Internal Detail"/>
      <sheetName val="I. Budget - Summary"/>
      <sheetName val="(Int)OP FY 13 (Y1)"/>
      <sheetName val="Detail Pact"/>
      <sheetName val="Internal_Detail"/>
      <sheetName val="I__Budget_-_Summary"/>
      <sheetName val="(Int)OP_FY_13_(Y1)"/>
    </sheetNames>
    <sheetDataSet>
      <sheetData sheetId="0" refreshError="1"/>
      <sheetData sheetId="1" refreshError="1"/>
      <sheetData sheetId="2" refreshError="1"/>
      <sheetData sheetId="3" refreshError="1"/>
      <sheetData sheetId="4" refreshError="1"/>
      <sheetData sheetId="5">
        <row r="2">
          <cell r="C2" t="str">
            <v xml:space="preserve">LT  </v>
          </cell>
        </row>
        <row r="3">
          <cell r="C3" t="str">
            <v>ST</v>
          </cell>
        </row>
        <row r="4">
          <cell r="C4" t="str">
            <v>?</v>
          </cell>
        </row>
        <row r="5">
          <cell r="C5" t="str">
            <v>Either</v>
          </cell>
        </row>
      </sheetData>
      <sheetData sheetId="6" refreshError="1"/>
      <sheetData sheetId="7" refreshError="1"/>
      <sheetData sheetId="8" refreshError="1"/>
      <sheetData sheetId="9" refreshError="1"/>
      <sheetData sheetId="10"/>
      <sheetData sheetId="11"/>
      <sheetData sheetId="1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stification"/>
      <sheetName val="Summary"/>
      <sheetName val="Compiled Budget-Grhm-Adm-Matt "/>
      <sheetName val="Adam's budget"/>
      <sheetName val="Matt's budget"/>
      <sheetName val="Mobile Phone Initiative"/>
      <sheetName val="GIS Map Initiative"/>
      <sheetName val="Country Strategy Design"/>
      <sheetName val="COP Detail"/>
      <sheetName val="Initiative (3)"/>
      <sheetName val="Initiative (4)"/>
      <sheetName val="Initiative (5)"/>
      <sheetName val="Initiative (6)"/>
      <sheetName val="Cost Centers"/>
      <sheetName val="Draft Initiatives"/>
      <sheetName val="Compiled_Budget-Grhm-Adm-Matt_"/>
      <sheetName val="Adam's_budget"/>
      <sheetName val="Matt's_budget"/>
      <sheetName val="Mobile_Phone_Initiative"/>
      <sheetName val="GIS_Map_Initiative"/>
      <sheetName val="Country_Strategy_Design"/>
      <sheetName val="COP_Detail"/>
      <sheetName val="Initiative_(3)"/>
      <sheetName val="Initiative_(4)"/>
      <sheetName val="Initiative_(5)"/>
      <sheetName val="Initiative_(6)"/>
      <sheetName val="Cost_Centers"/>
      <sheetName val="Draft_Initiatives"/>
    </sheetNames>
    <sheetDataSet>
      <sheetData sheetId="0"/>
      <sheetData sheetId="1">
        <row r="17">
          <cell r="C17" t="str">
            <v>Director Governance</v>
          </cell>
        </row>
      </sheetData>
      <sheetData sheetId="2">
        <row r="17">
          <cell r="C17" t="str">
            <v>Director Governance</v>
          </cell>
        </row>
      </sheetData>
      <sheetData sheetId="3">
        <row r="17">
          <cell r="C17" t="str">
            <v>Director Governance</v>
          </cell>
        </row>
      </sheetData>
      <sheetData sheetId="4">
        <row r="9">
          <cell r="C9" t="str">
            <v>Global Director, CDSS , Matt Reeves</v>
          </cell>
        </row>
      </sheetData>
      <sheetData sheetId="5"/>
      <sheetData sheetId="6"/>
      <sheetData sheetId="7"/>
      <sheetData sheetId="8">
        <row r="95">
          <cell r="J95">
            <v>204690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Analysis"/>
      <sheetName val="F1135_ _009_2002"/>
      <sheetName val="0210-YTDDetail"/>
      <sheetName val="0112-YTDDetail"/>
      <sheetName val="BudgetRevisionSummary"/>
      <sheetName val="BudgetRevisionDetail"/>
      <sheetName val="USAID budget"/>
      <sheetName val="NCA rev 0599"/>
      <sheetName val="AM 4 Yr ORIG. BUDGET"/>
      <sheetName val="JSR Sept"/>
      <sheetName val="NEW Travel PLAN for IAM staff"/>
      <sheetName val="RATES"/>
      <sheetName val="Facilities"/>
      <sheetName val="Salary sheet"/>
      <sheetName val="Salary and Fringe"/>
      <sheetName val="Pact Detail-1"/>
      <sheetName val="Sumry by ID-Variance"/>
      <sheetName val="F1135___009_2002"/>
      <sheetName val="USAID_budget"/>
      <sheetName val="NCA_rev_0599"/>
      <sheetName val="AM_4_Yr_ORIG__BUDGET"/>
      <sheetName val="JSR_Sept"/>
      <sheetName val="NEW_Travel_PLAN_for_IAM_staff"/>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 Statement"/>
      <sheetName val="SUN"/>
      <sheetName val="Summary"/>
      <sheetName val="Ls_XLB_WorkbookFile"/>
      <sheetName val="PTD by Subproject"/>
      <sheetName val="ExpByLoc"/>
      <sheetName val="Exp-FY"/>
      <sheetName val="Subproject Detail"/>
      <sheetName val="Detail"/>
      <sheetName val="Advances"/>
      <sheetName val="SubMatrix"/>
      <sheetName val="Budget"/>
      <sheetName val="FSR269"/>
      <sheetName val="Data"/>
      <sheetName val="0210-YTDDetail"/>
      <sheetName val="{AR}01"/>
      <sheetName val="Fund_Statement"/>
      <sheetName val="PTD_by_Subproject"/>
      <sheetName val="Subproject_Detail"/>
    </sheetNames>
    <sheetDataSet>
      <sheetData sheetId="0">
        <row r="8">
          <cell r="G8">
            <v>2009009</v>
          </cell>
        </row>
      </sheetData>
      <sheetData sheetId="1">
        <row r="8">
          <cell r="G8">
            <v>2009009</v>
          </cell>
        </row>
      </sheetData>
      <sheetData sheetId="2"/>
      <sheetData sheetId="3"/>
      <sheetData sheetId="4"/>
      <sheetData sheetId="5"/>
      <sheetData sheetId="6"/>
      <sheetData sheetId="7"/>
      <sheetData sheetId="8"/>
      <sheetData sheetId="9"/>
      <sheetData sheetId="10"/>
      <sheetData sheetId="11"/>
      <sheetData sheetId="12">
        <row r="8">
          <cell r="G8">
            <v>2009009</v>
          </cell>
        </row>
      </sheetData>
      <sheetData sheetId="13">
        <row r="8">
          <cell r="G8">
            <v>2009009</v>
          </cell>
        </row>
      </sheetData>
      <sheetData sheetId="14"/>
      <sheetData sheetId="15"/>
      <sheetData sheetId="16"/>
      <sheetData sheetId="17"/>
      <sheetData sheetId="1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Full"/>
      <sheetName val="Budget - Prog Ops"/>
      <sheetName val="NBI-Loki Ops"/>
      <sheetName val="Office Operations"/>
      <sheetName val="Prog Supplies"/>
      <sheetName val="Materials and Equipment"/>
      <sheetName val="Staff at Locations"/>
      <sheetName val="Facilities"/>
      <sheetName val="Salaries"/>
      <sheetName val="HQ Technical Support"/>
      <sheetName val="Budget_Full"/>
      <sheetName val="Budget_-_Prog_Ops"/>
      <sheetName val="NBI-Loki_Ops"/>
      <sheetName val="Office_Operations"/>
      <sheetName val="Prog_Supplies"/>
      <sheetName val="Materials_and_Equipment"/>
      <sheetName val="Staff_at_Locations"/>
      <sheetName val="HQ_Technical_Support"/>
      <sheetName val="IRC SUMMARY"/>
      <sheetName val="IRC_SUMMARY"/>
      <sheetName val="data summary"/>
      <sheetName val="CPR"/>
      <sheetName val="Paramètres"/>
      <sheetName val="Details"/>
      <sheetName val="FY18BudgetComparHelpernoGNA"/>
      <sheetName val="Data"/>
      <sheetName val="{AR}01"/>
      <sheetName val="Total Exp."/>
      <sheetName val="Sudan Detail (USD$)"/>
      <sheetName val="INPUT"/>
      <sheetName val="Do Not Touch"/>
      <sheetName val="Personnel Costs"/>
      <sheetName val="Budget_Full1"/>
      <sheetName val="Budget_-_Prog_Ops1"/>
      <sheetName val="NBI-Loki_Ops1"/>
      <sheetName val="Office_Operations1"/>
      <sheetName val="Prog_Supplies1"/>
      <sheetName val="Materials_and_Equipment1"/>
      <sheetName val="Staff_at_Locations1"/>
      <sheetName val="HQ_Technical_Support1"/>
      <sheetName val="Definitions"/>
      <sheetName val="Logframe"/>
      <sheetName val="Detail-1"/>
      <sheetName val="IRC_SUMMARY1"/>
      <sheetName val="data_summary"/>
      <sheetName val="Lists"/>
      <sheetName val="PSB paid"/>
      <sheetName val="OFDA Budget 41.xls"/>
      <sheetName val="OFDA Budget 41"/>
      <sheetName val="Formula Sheet"/>
      <sheetName val="Lookup"/>
      <sheetName val="Staff list"/>
      <sheetName val="CRS Detail budget"/>
      <sheetName val="Wksht-ODC"/>
      <sheetName val="Salary and Fringe"/>
      <sheetName val="Salary Scale"/>
      <sheetName val="original"/>
      <sheetName val="TB Criteria"/>
      <sheetName val="Budget Line Item"/>
      <sheetName val="Control Sheet"/>
      <sheetName val="Donor Mapping Codes"/>
      <sheetName val="IRC_Detailled_Budget"/>
      <sheetName val="Budget_Full2"/>
      <sheetName val="Budget_-_Prog_Ops2"/>
      <sheetName val="NBI-Loki_Ops2"/>
      <sheetName val="Office_Operations2"/>
      <sheetName val="Prog_Supplies2"/>
      <sheetName val="Materials_and_Equipment2"/>
      <sheetName val="Staff_at_Locations2"/>
      <sheetName val="HQ_Technical_Support2"/>
      <sheetName val="IRC_SUMMARY2"/>
      <sheetName val="data_summary1"/>
      <sheetName val="Total_Exp_"/>
      <sheetName val="Sudan_Detail_(USD$)"/>
      <sheetName val="Do_Not_Touch"/>
      <sheetName val="Personnel_Costs"/>
      <sheetName val="PSB_paid"/>
      <sheetName val="OFDA_Budget_41_xls"/>
      <sheetName val="OFDA_Budget_41"/>
      <sheetName val="Formula_Sheet"/>
      <sheetName val="Staff_list"/>
      <sheetName val="CRS_Detail_budget"/>
      <sheetName val="Salary_and_Fringe"/>
      <sheetName val="Salary_Scale"/>
      <sheetName val="TB_Criteria"/>
      <sheetName val="Budget_Line_Item"/>
      <sheetName val="Control_Sheet"/>
      <sheetName val="Donor_Mapping_Codes"/>
    </sheetNames>
    <sheetDataSet>
      <sheetData sheetId="0">
        <row r="10">
          <cell r="G10">
            <v>50</v>
          </cell>
        </row>
      </sheetData>
      <sheetData sheetId="1">
        <row r="10">
          <cell r="G10">
            <v>50</v>
          </cell>
        </row>
      </sheetData>
      <sheetData sheetId="2">
        <row r="10">
          <cell r="G10">
            <v>50</v>
          </cell>
        </row>
      </sheetData>
      <sheetData sheetId="3">
        <row r="10">
          <cell r="G10">
            <v>50</v>
          </cell>
        </row>
      </sheetData>
      <sheetData sheetId="4">
        <row r="10">
          <cell r="G10">
            <v>50</v>
          </cell>
        </row>
      </sheetData>
      <sheetData sheetId="5">
        <row r="10">
          <cell r="G10">
            <v>50</v>
          </cell>
        </row>
      </sheetData>
      <sheetData sheetId="6">
        <row r="10">
          <cell r="G10">
            <v>50</v>
          </cell>
        </row>
      </sheetData>
      <sheetData sheetId="7" refreshError="1">
        <row r="10">
          <cell r="G10">
            <v>50</v>
          </cell>
          <cell r="H10">
            <v>10</v>
          </cell>
        </row>
      </sheetData>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0">
          <cell r="G10">
            <v>50</v>
          </cell>
        </row>
      </sheetData>
      <sheetData sheetId="33">
        <row r="10">
          <cell r="G10">
            <v>50</v>
          </cell>
        </row>
      </sheetData>
      <sheetData sheetId="34">
        <row r="10">
          <cell r="G10">
            <v>50</v>
          </cell>
        </row>
      </sheetData>
      <sheetData sheetId="35">
        <row r="10">
          <cell r="G10">
            <v>50</v>
          </cell>
        </row>
      </sheetData>
      <sheetData sheetId="36">
        <row r="10">
          <cell r="G10">
            <v>50</v>
          </cell>
        </row>
      </sheetData>
      <sheetData sheetId="37">
        <row r="10">
          <cell r="G10">
            <v>50</v>
          </cell>
        </row>
      </sheetData>
      <sheetData sheetId="38">
        <row r="10">
          <cell r="G10">
            <v>50</v>
          </cell>
        </row>
      </sheetData>
      <sheetData sheetId="39">
        <row r="10">
          <cell r="G10">
            <v>50</v>
          </cell>
        </row>
      </sheetData>
      <sheetData sheetId="40">
        <row r="10">
          <cell r="G10">
            <v>50</v>
          </cell>
        </row>
      </sheetData>
      <sheetData sheetId="41">
        <row r="10">
          <cell r="G10">
            <v>50</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vsi 2"/>
      <sheetName val="care 2"/>
      <sheetName val="irc 2"/>
      <sheetName val="crs 2"/>
      <sheetName val="Summary"/>
    </sheetNames>
    <sheetDataSet>
      <sheetData sheetId="0" refreshError="1"/>
      <sheetData sheetId="1" refreshError="1">
        <row r="2">
          <cell r="A2" t="str">
            <v>Bilateral</v>
          </cell>
        </row>
        <row r="3">
          <cell r="A3" t="str">
            <v xml:space="preserve">Loan/government </v>
          </cell>
        </row>
        <row r="4">
          <cell r="A4" t="str">
            <v>Commercial</v>
          </cell>
        </row>
        <row r="5">
          <cell r="A5" t="str">
            <v xml:space="preserve">Trading  </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nsolidated Budget"/>
      <sheetName val="Consultants"/>
      <sheetName val="Printing"/>
      <sheetName val="Sheet1"/>
      <sheetName val="NY Base Salary"/>
      <sheetName val="Cost Share"/>
      <sheetName val="Travel Cost Projections"/>
      <sheetName val="Consolidated_Budget"/>
      <sheetName val="NY_Base_Salary"/>
      <sheetName val="Cost_Share"/>
      <sheetName val="Travel_Cost_Projections"/>
      <sheetName val="NY_Base_Salary2"/>
      <sheetName val="Consolidated_Budget2"/>
      <sheetName val="Cost_Share2"/>
      <sheetName val="Travel_Cost_Projections2"/>
      <sheetName val="Consolidated_Budget1"/>
      <sheetName val="NY_Base_Salary1"/>
      <sheetName val="Cost_Share1"/>
      <sheetName val="Travel_Cost_Projections1"/>
      <sheetName val="Unprogrammed Funds Carry-Over B"/>
      <sheetName val="Other rates"/>
    </sheetNames>
    <sheetDataSet>
      <sheetData sheetId="0">
        <row r="5">
          <cell r="E5">
            <v>0.03</v>
          </cell>
        </row>
      </sheetData>
      <sheetData sheetId="1">
        <row r="5">
          <cell r="E5">
            <v>0.03</v>
          </cell>
        </row>
      </sheetData>
      <sheetData sheetId="2"/>
      <sheetData sheetId="3"/>
      <sheetData sheetId="4"/>
      <sheetData sheetId="5">
        <row r="5">
          <cell r="E5">
            <v>0.03</v>
          </cell>
        </row>
      </sheetData>
      <sheetData sheetId="6"/>
      <sheetData sheetId="7"/>
      <sheetData sheetId="8"/>
      <sheetData sheetId="9">
        <row r="5">
          <cell r="E5">
            <v>0.03</v>
          </cell>
        </row>
      </sheetData>
      <sheetData sheetId="10"/>
      <sheetData sheetId="11"/>
      <sheetData sheetId="12">
        <row r="5">
          <cell r="E5">
            <v>0.03</v>
          </cell>
        </row>
      </sheetData>
      <sheetData sheetId="13">
        <row r="5">
          <cell r="E5">
            <v>0.03</v>
          </cell>
        </row>
      </sheetData>
      <sheetData sheetId="14"/>
      <sheetData sheetId="15"/>
      <sheetData sheetId="16">
        <row r="5">
          <cell r="E5">
            <v>0.03</v>
          </cell>
        </row>
      </sheetData>
      <sheetData sheetId="17">
        <row r="5">
          <cell r="E5">
            <v>0.03</v>
          </cell>
        </row>
      </sheetData>
      <sheetData sheetId="18"/>
      <sheetData sheetId="19"/>
      <sheetData sheetId="20"/>
      <sheetData sheetId="2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nsolidated Budget"/>
      <sheetName val="Consultants"/>
      <sheetName val="Printing"/>
      <sheetName val="Sheet1"/>
      <sheetName val="NY Base Salary"/>
      <sheetName val="Cost Share"/>
      <sheetName val="Travel Cost Projections"/>
      <sheetName val="Consolidated_Budget"/>
      <sheetName val="NY_Base_Salary"/>
      <sheetName val="Cost_Share"/>
      <sheetName val="Travel_Cost_Projections"/>
      <sheetName val="NY_Base_Salary2"/>
      <sheetName val="Consolidated_Budget2"/>
      <sheetName val="Cost_Share2"/>
      <sheetName val="Travel_Cost_Projections2"/>
      <sheetName val="Consolidated_Budget1"/>
      <sheetName val="NY_Base_Salary1"/>
      <sheetName val="Cost_Share1"/>
      <sheetName val="Travel_Cost_Projections1"/>
      <sheetName val="Unprogrammed Funds Carry-Over B"/>
      <sheetName val="Other rates"/>
      <sheetName val="NY_Base_Salary3"/>
      <sheetName val="CONSBA 898K"/>
      <sheetName val="1. SUMMARY"/>
      <sheetName val="2. PERSONNEL"/>
      <sheetName val="Lists"/>
      <sheetName val="Inputs"/>
      <sheetName val="Tax tables"/>
    </sheetNames>
    <sheetDataSet>
      <sheetData sheetId="0">
        <row r="5">
          <cell r="E5">
            <v>0.03</v>
          </cell>
        </row>
      </sheetData>
      <sheetData sheetId="1">
        <row r="5">
          <cell r="E5">
            <v>0.03</v>
          </cell>
        </row>
      </sheetData>
      <sheetData sheetId="2" refreshError="1"/>
      <sheetData sheetId="3" refreshError="1"/>
      <sheetData sheetId="4" refreshError="1"/>
      <sheetData sheetId="5">
        <row r="5">
          <cell r="E5">
            <v>0.03</v>
          </cell>
        </row>
      </sheetData>
      <sheetData sheetId="6" refreshError="1"/>
      <sheetData sheetId="7" refreshError="1"/>
      <sheetData sheetId="8"/>
      <sheetData sheetId="9">
        <row r="5">
          <cell r="E5">
            <v>0.03</v>
          </cell>
        </row>
      </sheetData>
      <sheetData sheetId="10"/>
      <sheetData sheetId="11"/>
      <sheetData sheetId="12">
        <row r="5">
          <cell r="E5">
            <v>0.03</v>
          </cell>
        </row>
      </sheetData>
      <sheetData sheetId="13">
        <row r="5">
          <cell r="E5">
            <v>0.03</v>
          </cell>
        </row>
      </sheetData>
      <sheetData sheetId="14"/>
      <sheetData sheetId="15"/>
      <sheetData sheetId="16">
        <row r="5">
          <cell r="E5">
            <v>0.03</v>
          </cell>
        </row>
      </sheetData>
      <sheetData sheetId="17">
        <row r="5">
          <cell r="E5">
            <v>0.03</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for CDC"/>
      <sheetName val="Summary for CU RA"/>
      <sheetName val="In-Country"/>
      <sheetName val="Base Salary"/>
      <sheetName val="CIHP SUB "/>
      <sheetName val="NY Base Salary"/>
    </sheetNames>
    <sheetDataSet>
      <sheetData sheetId="0">
        <row r="3">
          <cell r="B3" t="str">
            <v>CENTERS FOR DISEASE CONTROL &amp; PREVENTION FUNDING OPPORTUNITY CDC-RFA-PS10-1076</v>
          </cell>
        </row>
        <row r="6">
          <cell r="B6" t="str">
            <v>MAILMAN SCHOOL OF PUBLIC HEALTH, COLUMBIA UNIVERSITY</v>
          </cell>
        </row>
      </sheetData>
      <sheetData sheetId="1"/>
      <sheetData sheetId="2"/>
      <sheetData sheetId="3"/>
      <sheetData sheetId="4"/>
      <sheetData sheetId="5"/>
      <sheetData sheetId="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for CDC"/>
      <sheetName val="Summary for CU RA"/>
      <sheetName val="In-Country"/>
      <sheetName val="Base Salary"/>
      <sheetName val="CIHP SUB "/>
      <sheetName val="NY Base Salary"/>
      <sheetName val="Lists"/>
      <sheetName val="Other rates"/>
      <sheetName val="CONSBA 898K"/>
    </sheetNames>
    <sheetDataSet>
      <sheetData sheetId="0" refreshError="1">
        <row r="3">
          <cell r="B3" t="str">
            <v>CENTERS FOR DISEASE CONTROL &amp; PREVENTION FUNDING OPPORTUNITY CDC-RFA-PS10-1076</v>
          </cell>
        </row>
        <row r="6">
          <cell r="B6" t="str">
            <v>MAILMAN SCHOOL OF PUBLIC HEALTH, COLUMBIA UNIVERSITY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enic "/>
      <sheetName val="Instructions"/>
      <sheetName val="Summary"/>
      <sheetName val=" Detail"/>
      <sheetName val="Travel"/>
      <sheetName val="Activities"/>
      <sheetName val="Pact CCA"/>
      <sheetName val="SF424"/>
      <sheetName val="SF424A"/>
      <sheetName val="SF424B"/>
      <sheetName val="AI NON-EE Import Template"/>
      <sheetName val="B2. Award Planning _ Total Budg"/>
      <sheetName val="AI LOE Import Template"/>
      <sheetName val="B1. Award Planning _ Personnel "/>
      <sheetName val="Serenic_"/>
      <sheetName val="_Detail"/>
      <sheetName val="Pact_CCA"/>
      <sheetName val="AI_NON-EE_Import_Template"/>
      <sheetName val="B2__Award_Planning___Total_Budg"/>
      <sheetName val="AI_LOE_Import_Template"/>
      <sheetName val="B1__Award_Planning___Personnel_"/>
    </sheetNames>
    <sheetDataSet>
      <sheetData sheetId="0"/>
      <sheetData sheetId="1"/>
      <sheetData sheetId="2">
        <row r="24">
          <cell r="H24">
            <v>0</v>
          </cell>
        </row>
      </sheetData>
      <sheetData sheetId="3">
        <row r="5">
          <cell r="A5" t="str">
            <v>Enter Project Name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thru Sept 7, 06"/>
      <sheetName val="Projected Expenses Sep 7 -30"/>
      <sheetName val="SiG FR"/>
      <sheetName val="Dept 01- CEO Activity Sum"/>
      <sheetName val="SiG_FR"/>
      <sheetName val="V. Budget - Quarterly (Sub Ops)"/>
      <sheetName val="III. Budget - Qrtrly (FHI Ops)"/>
      <sheetName val="July 2012"/>
      <sheetName val="SiG_FR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s"/>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FECARE WORKPLAN"/>
      <sheetName val="Sheet2"/>
      <sheetName val="1.Costed Workplan"/>
      <sheetName val="cash advance"/>
      <sheetName val="Site activity Budget"/>
      <sheetName val="SHWARI_SAFECARE_RAPID START "/>
    </sheetNames>
    <sheetDataSet>
      <sheetData sheetId="0" refreshError="1"/>
      <sheetData sheetId="1" refreshError="1"/>
      <sheetData sheetId="2">
        <row r="59">
          <cell r="B59" t="str">
            <v>DR TCHONKONTE CHRISTIAN</v>
          </cell>
        </row>
      </sheetData>
      <sheetData sheetId="3" refreshError="1"/>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A8E88-469B-451D-877D-7F8E3B901F0F}" name="Table1" displayName="Table1" ref="A1:C979" totalsRowShown="0" headerRowDxfId="5" dataDxfId="4">
  <autoFilter ref="A1:C979" xr:uid="{1D6A8E88-469B-451D-877D-7F8E3B901F0F}"/>
  <tableColumns count="3">
    <tableColumn id="5" xr3:uid="{8F624721-5C37-42C1-9DD3-944F7BD05AEF}" name="Strategies" dataDxfId="3"/>
    <tableColumn id="4" xr3:uid="{E91FDD80-5086-465D-99B0-37B4B5935632}" name="Program domain" dataDxfId="2"/>
    <tableColumn id="3" xr3:uid="{7382E2CA-414D-4761-A07E-EF02CE2AB81B}" name="Priority area" dataDxfId="1"/>
  </tableColumns>
  <tableStyleInfo name="TableStyleLight17"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7099-3F4E-42D8-9DB6-E5979288A15B}">
  <dimension ref="A1:BA979"/>
  <sheetViews>
    <sheetView tabSelected="1" zoomScale="70" zoomScaleNormal="70" workbookViewId="0">
      <selection activeCell="A13" sqref="A13"/>
    </sheetView>
  </sheetViews>
  <sheetFormatPr baseColWidth="10" defaultColWidth="14.453125" defaultRowHeight="22.5" customHeight="1" x14ac:dyDescent="0.35"/>
  <cols>
    <col min="1" max="1" width="84.81640625" customWidth="1"/>
    <col min="2" max="2" width="21.54296875" customWidth="1"/>
    <col min="3" max="3" width="43.1796875" customWidth="1"/>
    <col min="4" max="4" width="19" style="5" customWidth="1"/>
    <col min="5" max="5" width="21.26953125" style="5" customWidth="1"/>
    <col min="6" max="6" width="17.54296875" style="5" customWidth="1"/>
    <col min="7" max="7" width="22.1796875" style="5" customWidth="1"/>
    <col min="8" max="16384" width="14.453125" style="1"/>
  </cols>
  <sheetData>
    <row r="1" spans="1:7" s="191" customFormat="1" ht="22.5" customHeight="1" x14ac:dyDescent="0.35">
      <c r="A1" s="190" t="s">
        <v>3</v>
      </c>
      <c r="B1" s="190" t="s">
        <v>1748</v>
      </c>
      <c r="C1" s="190" t="s">
        <v>1749</v>
      </c>
      <c r="D1" s="192"/>
    </row>
    <row r="2" spans="1:7" s="189" customFormat="1" ht="28" x14ac:dyDescent="0.35">
      <c r="A2" s="154" t="s">
        <v>21</v>
      </c>
      <c r="B2" s="154" t="s">
        <v>44</v>
      </c>
      <c r="C2" s="154" t="s">
        <v>45</v>
      </c>
    </row>
    <row r="3" spans="1:7" s="189" customFormat="1" ht="28" x14ac:dyDescent="0.35">
      <c r="A3" s="154" t="s">
        <v>21</v>
      </c>
      <c r="B3" s="154" t="s">
        <v>44</v>
      </c>
      <c r="C3" s="154" t="s">
        <v>45</v>
      </c>
    </row>
    <row r="4" spans="1:7" s="189" customFormat="1" ht="28" x14ac:dyDescent="0.35">
      <c r="A4" s="154" t="s">
        <v>21</v>
      </c>
      <c r="B4" s="154" t="s">
        <v>44</v>
      </c>
      <c r="C4" s="154" t="s">
        <v>45</v>
      </c>
    </row>
    <row r="5" spans="1:7" s="189" customFormat="1" ht="28" x14ac:dyDescent="0.35">
      <c r="A5" s="154" t="s">
        <v>21</v>
      </c>
      <c r="B5" s="154" t="s">
        <v>44</v>
      </c>
      <c r="C5" s="154" t="s">
        <v>45</v>
      </c>
    </row>
    <row r="6" spans="1:7" s="189" customFormat="1" ht="28" x14ac:dyDescent="0.35">
      <c r="A6" s="154" t="s">
        <v>21</v>
      </c>
      <c r="B6" s="154" t="s">
        <v>44</v>
      </c>
      <c r="C6" s="154" t="s">
        <v>45</v>
      </c>
    </row>
    <row r="7" spans="1:7" s="189" customFormat="1" ht="28" x14ac:dyDescent="0.35">
      <c r="A7" s="154" t="s">
        <v>21</v>
      </c>
      <c r="B7" s="154" t="s">
        <v>44</v>
      </c>
      <c r="C7" s="154" t="s">
        <v>45</v>
      </c>
    </row>
    <row r="8" spans="1:7" s="189" customFormat="1" ht="28" x14ac:dyDescent="0.35">
      <c r="A8" s="154" t="s">
        <v>21</v>
      </c>
      <c r="B8" s="154" t="s">
        <v>44</v>
      </c>
      <c r="C8" s="154" t="s">
        <v>45</v>
      </c>
    </row>
    <row r="9" spans="1:7" s="189" customFormat="1" ht="28" x14ac:dyDescent="0.35">
      <c r="A9" s="154" t="s">
        <v>21</v>
      </c>
      <c r="B9" s="154" t="s">
        <v>44</v>
      </c>
      <c r="C9" s="154" t="s">
        <v>45</v>
      </c>
    </row>
    <row r="10" spans="1:7" s="189" customFormat="1" ht="28" x14ac:dyDescent="0.35">
      <c r="A10" s="154" t="s">
        <v>21</v>
      </c>
      <c r="B10" s="154" t="s">
        <v>44</v>
      </c>
      <c r="C10" s="154" t="s">
        <v>45</v>
      </c>
    </row>
    <row r="11" spans="1:7" s="189" customFormat="1" ht="28" x14ac:dyDescent="0.35">
      <c r="A11" s="154" t="s">
        <v>21</v>
      </c>
      <c r="B11" s="154" t="s">
        <v>44</v>
      </c>
      <c r="C11" s="154" t="s">
        <v>45</v>
      </c>
    </row>
    <row r="12" spans="1:7" ht="28" x14ac:dyDescent="0.35">
      <c r="A12" s="154" t="s">
        <v>21</v>
      </c>
      <c r="B12" s="154" t="s">
        <v>44</v>
      </c>
      <c r="C12" s="154" t="s">
        <v>45</v>
      </c>
      <c r="D12" s="1"/>
      <c r="E12" s="1"/>
      <c r="F12" s="1"/>
      <c r="G12" s="1"/>
    </row>
    <row r="13" spans="1:7" ht="28" x14ac:dyDescent="0.35">
      <c r="A13" s="154" t="s">
        <v>21</v>
      </c>
      <c r="B13" s="154" t="s">
        <v>44</v>
      </c>
      <c r="C13" s="154" t="s">
        <v>45</v>
      </c>
      <c r="D13" s="1"/>
      <c r="E13" s="1"/>
      <c r="F13" s="1"/>
      <c r="G13" s="1"/>
    </row>
    <row r="14" spans="1:7" ht="28" x14ac:dyDescent="0.35">
      <c r="A14" s="154" t="s">
        <v>21</v>
      </c>
      <c r="B14" s="154" t="s">
        <v>44</v>
      </c>
      <c r="C14" s="154" t="s">
        <v>45</v>
      </c>
      <c r="D14" s="1"/>
      <c r="E14" s="1"/>
      <c r="F14" s="1"/>
      <c r="G14" s="1"/>
    </row>
    <row r="15" spans="1:7" ht="28" x14ac:dyDescent="0.35">
      <c r="A15" s="154" t="s">
        <v>21</v>
      </c>
      <c r="B15" s="154" t="s">
        <v>44</v>
      </c>
      <c r="C15" s="154" t="s">
        <v>45</v>
      </c>
      <c r="D15" s="1"/>
      <c r="E15" s="1"/>
      <c r="F15" s="1"/>
      <c r="G15" s="1"/>
    </row>
    <row r="16" spans="1:7" ht="28" x14ac:dyDescent="0.35">
      <c r="A16" s="154" t="s">
        <v>21</v>
      </c>
      <c r="B16" s="154" t="s">
        <v>44</v>
      </c>
      <c r="C16" s="154" t="s">
        <v>45</v>
      </c>
      <c r="D16" s="1"/>
      <c r="E16" s="1"/>
      <c r="F16" s="1"/>
      <c r="G16" s="1"/>
    </row>
    <row r="17" spans="1:7" ht="28" x14ac:dyDescent="0.35">
      <c r="A17" s="154" t="s">
        <v>21</v>
      </c>
      <c r="B17" s="154" t="s">
        <v>44</v>
      </c>
      <c r="C17" s="154" t="s">
        <v>45</v>
      </c>
      <c r="D17" s="1"/>
      <c r="E17" s="1"/>
      <c r="F17" s="1"/>
      <c r="G17" s="1"/>
    </row>
    <row r="18" spans="1:7" ht="28" x14ac:dyDescent="0.35">
      <c r="A18" s="154" t="s">
        <v>21</v>
      </c>
      <c r="B18" s="154" t="s">
        <v>44</v>
      </c>
      <c r="C18" s="154" t="s">
        <v>45</v>
      </c>
      <c r="D18" s="1"/>
      <c r="E18" s="1"/>
      <c r="F18" s="1"/>
      <c r="G18" s="1"/>
    </row>
    <row r="19" spans="1:7" ht="28" x14ac:dyDescent="0.35">
      <c r="A19" s="154" t="s">
        <v>21</v>
      </c>
      <c r="B19" s="154" t="s">
        <v>44</v>
      </c>
      <c r="C19" s="154" t="s">
        <v>45</v>
      </c>
      <c r="D19" s="1"/>
      <c r="E19" s="1"/>
      <c r="F19" s="1"/>
      <c r="G19" s="1"/>
    </row>
    <row r="20" spans="1:7" ht="58.15" customHeight="1" x14ac:dyDescent="0.35">
      <c r="A20" s="154" t="s">
        <v>21</v>
      </c>
      <c r="B20" s="154" t="s">
        <v>44</v>
      </c>
      <c r="C20" s="154" t="s">
        <v>45</v>
      </c>
      <c r="D20" s="1"/>
      <c r="E20" s="1"/>
      <c r="F20" s="1"/>
      <c r="G20" s="1"/>
    </row>
    <row r="21" spans="1:7" ht="70.150000000000006" customHeight="1" x14ac:dyDescent="0.35">
      <c r="A21" s="154" t="s">
        <v>21</v>
      </c>
      <c r="B21" s="154" t="s">
        <v>44</v>
      </c>
      <c r="C21" s="154" t="s">
        <v>45</v>
      </c>
      <c r="D21" s="1"/>
      <c r="E21" s="1"/>
      <c r="F21" s="1"/>
      <c r="G21" s="1"/>
    </row>
    <row r="22" spans="1:7" ht="59.5" customHeight="1" x14ac:dyDescent="0.35">
      <c r="A22" s="154" t="s">
        <v>21</v>
      </c>
      <c r="B22" s="154" t="s">
        <v>44</v>
      </c>
      <c r="C22" s="154" t="s">
        <v>45</v>
      </c>
      <c r="D22" s="1"/>
      <c r="E22" s="1"/>
      <c r="F22" s="1"/>
      <c r="G22" s="1"/>
    </row>
    <row r="23" spans="1:7" ht="55.9" customHeight="1" x14ac:dyDescent="0.35">
      <c r="A23" s="154" t="s">
        <v>21</v>
      </c>
      <c r="B23" s="154" t="s">
        <v>44</v>
      </c>
      <c r="C23" s="154" t="s">
        <v>45</v>
      </c>
      <c r="D23" s="1"/>
      <c r="E23" s="1"/>
      <c r="F23" s="1"/>
      <c r="G23" s="1"/>
    </row>
    <row r="24" spans="1:7" ht="75" customHeight="1" x14ac:dyDescent="0.35">
      <c r="A24" s="154" t="s">
        <v>21</v>
      </c>
      <c r="B24" s="154" t="s">
        <v>44</v>
      </c>
      <c r="C24" s="154" t="s">
        <v>45</v>
      </c>
      <c r="D24" s="1"/>
      <c r="E24" s="1"/>
      <c r="F24" s="1"/>
      <c r="G24" s="1"/>
    </row>
    <row r="25" spans="1:7" ht="63" customHeight="1" x14ac:dyDescent="0.35">
      <c r="A25" s="154" t="s">
        <v>21</v>
      </c>
      <c r="B25" s="154" t="s">
        <v>44</v>
      </c>
      <c r="C25" s="154" t="s">
        <v>45</v>
      </c>
      <c r="D25" s="1"/>
      <c r="E25" s="1"/>
      <c r="F25" s="1"/>
      <c r="G25" s="1"/>
    </row>
    <row r="26" spans="1:7" ht="28" x14ac:dyDescent="0.35">
      <c r="A26" s="154" t="s">
        <v>21</v>
      </c>
      <c r="B26" s="154" t="s">
        <v>44</v>
      </c>
      <c r="C26" s="154" t="s">
        <v>45</v>
      </c>
      <c r="D26" s="1"/>
      <c r="E26" s="1"/>
      <c r="F26" s="1"/>
      <c r="G26" s="1"/>
    </row>
    <row r="27" spans="1:7" ht="28" x14ac:dyDescent="0.35">
      <c r="A27" s="154" t="s">
        <v>21</v>
      </c>
      <c r="B27" s="154" t="s">
        <v>44</v>
      </c>
      <c r="C27" s="154" t="s">
        <v>45</v>
      </c>
      <c r="D27" s="1"/>
      <c r="E27" s="1"/>
      <c r="F27" s="1"/>
      <c r="G27" s="1"/>
    </row>
    <row r="28" spans="1:7" ht="28" x14ac:dyDescent="0.35">
      <c r="A28" s="154" t="s">
        <v>21</v>
      </c>
      <c r="B28" s="154" t="s">
        <v>44</v>
      </c>
      <c r="C28" s="154" t="s">
        <v>45</v>
      </c>
      <c r="D28" s="1"/>
      <c r="E28" s="1"/>
      <c r="F28" s="1"/>
      <c r="G28" s="1"/>
    </row>
    <row r="29" spans="1:7" ht="28" x14ac:dyDescent="0.35">
      <c r="A29" s="154" t="s">
        <v>21</v>
      </c>
      <c r="B29" s="154" t="s">
        <v>44</v>
      </c>
      <c r="C29" s="154" t="s">
        <v>45</v>
      </c>
      <c r="D29" s="1"/>
      <c r="E29" s="1"/>
      <c r="F29" s="1"/>
      <c r="G29" s="1"/>
    </row>
    <row r="30" spans="1:7" ht="28" x14ac:dyDescent="0.35">
      <c r="A30" s="154" t="s">
        <v>21</v>
      </c>
      <c r="B30" s="154" t="s">
        <v>44</v>
      </c>
      <c r="C30" s="154" t="s">
        <v>46</v>
      </c>
      <c r="D30" s="1"/>
      <c r="E30" s="1"/>
      <c r="F30" s="1"/>
      <c r="G30" s="1"/>
    </row>
    <row r="31" spans="1:7" ht="28" x14ac:dyDescent="0.35">
      <c r="A31" s="154" t="s">
        <v>21</v>
      </c>
      <c r="B31" s="154" t="s">
        <v>44</v>
      </c>
      <c r="C31" s="154" t="s">
        <v>46</v>
      </c>
      <c r="D31" s="1"/>
      <c r="E31" s="1"/>
      <c r="F31" s="1"/>
      <c r="G31" s="1"/>
    </row>
    <row r="32" spans="1:7" ht="28" x14ac:dyDescent="0.35">
      <c r="A32" s="154" t="s">
        <v>21</v>
      </c>
      <c r="B32" s="154" t="s">
        <v>44</v>
      </c>
      <c r="C32" s="154" t="s">
        <v>46</v>
      </c>
      <c r="D32" s="1"/>
      <c r="E32" s="1"/>
      <c r="F32" s="1"/>
      <c r="G32" s="1"/>
    </row>
    <row r="33" spans="1:53" ht="28" x14ac:dyDescent="0.35">
      <c r="A33" s="154" t="s">
        <v>21</v>
      </c>
      <c r="B33" s="154" t="s">
        <v>44</v>
      </c>
      <c r="C33" s="154" t="s">
        <v>46</v>
      </c>
      <c r="D33" s="1"/>
      <c r="E33" s="1"/>
      <c r="F33" s="1"/>
      <c r="G33" s="1"/>
    </row>
    <row r="34" spans="1:53" ht="28" x14ac:dyDescent="0.35">
      <c r="A34" s="154" t="s">
        <v>21</v>
      </c>
      <c r="B34" s="154" t="s">
        <v>44</v>
      </c>
      <c r="C34" s="154" t="s">
        <v>46</v>
      </c>
      <c r="D34" s="1"/>
      <c r="E34" s="1"/>
      <c r="F34" s="1"/>
      <c r="G34" s="1"/>
    </row>
    <row r="35" spans="1:53" ht="28" x14ac:dyDescent="0.35">
      <c r="A35" s="154" t="s">
        <v>21</v>
      </c>
      <c r="B35" s="154" t="s">
        <v>44</v>
      </c>
      <c r="C35" s="154" t="s">
        <v>46</v>
      </c>
      <c r="D35" s="1"/>
      <c r="E35" s="1"/>
      <c r="F35" s="1"/>
      <c r="G35" s="1"/>
    </row>
    <row r="36" spans="1:53" ht="28" x14ac:dyDescent="0.35">
      <c r="A36" s="154" t="s">
        <v>21</v>
      </c>
      <c r="B36" s="154" t="s">
        <v>44</v>
      </c>
      <c r="C36" s="154" t="s">
        <v>46</v>
      </c>
      <c r="D36" s="1"/>
      <c r="E36" s="1"/>
      <c r="F36" s="1"/>
      <c r="G36" s="1"/>
    </row>
    <row r="37" spans="1:53" ht="28" x14ac:dyDescent="0.35">
      <c r="A37" s="154" t="s">
        <v>21</v>
      </c>
      <c r="B37" s="154" t="s">
        <v>44</v>
      </c>
      <c r="C37" s="154" t="s">
        <v>46</v>
      </c>
      <c r="D37" s="1"/>
      <c r="E37" s="1"/>
      <c r="F37" s="1"/>
      <c r="G37" s="1"/>
    </row>
    <row r="38" spans="1:53" ht="28" x14ac:dyDescent="0.35">
      <c r="A38" s="154" t="s">
        <v>21</v>
      </c>
      <c r="B38" s="154" t="s">
        <v>44</v>
      </c>
      <c r="C38" s="154" t="s">
        <v>46</v>
      </c>
      <c r="D38" s="1"/>
      <c r="E38" s="1"/>
      <c r="F38" s="1"/>
      <c r="G38" s="1"/>
    </row>
    <row r="39" spans="1:53" ht="28" x14ac:dyDescent="0.35">
      <c r="A39" s="154" t="s">
        <v>21</v>
      </c>
      <c r="B39" s="154" t="s">
        <v>44</v>
      </c>
      <c r="C39" s="154" t="s">
        <v>46</v>
      </c>
      <c r="D39" s="1"/>
      <c r="E39" s="1"/>
      <c r="F39" s="1"/>
      <c r="G39" s="1"/>
    </row>
    <row r="40" spans="1:53" ht="28" x14ac:dyDescent="0.35">
      <c r="A40" s="154" t="s">
        <v>21</v>
      </c>
      <c r="B40" s="154" t="s">
        <v>44</v>
      </c>
      <c r="C40" s="154" t="s">
        <v>46</v>
      </c>
      <c r="D40" s="1"/>
      <c r="E40" s="1"/>
      <c r="F40" s="1"/>
      <c r="G40" s="1"/>
    </row>
    <row r="41" spans="1:53" ht="28" x14ac:dyDescent="0.35">
      <c r="A41" s="154" t="s">
        <v>21</v>
      </c>
      <c r="B41" s="154" t="s">
        <v>44</v>
      </c>
      <c r="C41" s="154" t="s">
        <v>46</v>
      </c>
      <c r="D41" s="1"/>
      <c r="E41" s="1"/>
      <c r="F41" s="1"/>
      <c r="G41" s="1"/>
    </row>
    <row r="42" spans="1:53" s="2" customFormat="1" ht="28" x14ac:dyDescent="0.35">
      <c r="A42" s="154" t="s">
        <v>21</v>
      </c>
      <c r="B42" s="154" t="s">
        <v>44</v>
      </c>
      <c r="C42" s="154" t="s">
        <v>46</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row>
    <row r="43" spans="1:53" ht="28" x14ac:dyDescent="0.35">
      <c r="A43" s="154" t="s">
        <v>21</v>
      </c>
      <c r="B43" s="154" t="s">
        <v>44</v>
      </c>
      <c r="C43" s="154" t="s">
        <v>46</v>
      </c>
      <c r="D43" s="1"/>
      <c r="E43" s="1"/>
      <c r="F43" s="1"/>
      <c r="G43" s="1"/>
    </row>
    <row r="44" spans="1:53" ht="28" x14ac:dyDescent="0.35">
      <c r="A44" s="154" t="s">
        <v>21</v>
      </c>
      <c r="B44" s="154" t="s">
        <v>44</v>
      </c>
      <c r="C44" s="154" t="s">
        <v>46</v>
      </c>
      <c r="D44" s="1"/>
      <c r="E44" s="1"/>
      <c r="F44" s="1"/>
      <c r="G44" s="1"/>
    </row>
    <row r="45" spans="1:53" ht="28" x14ac:dyDescent="0.35">
      <c r="A45" s="154" t="s">
        <v>21</v>
      </c>
      <c r="B45" s="154" t="s">
        <v>44</v>
      </c>
      <c r="C45" s="154" t="s">
        <v>46</v>
      </c>
      <c r="D45" s="1"/>
      <c r="E45" s="1"/>
      <c r="F45" s="1"/>
      <c r="G45" s="1"/>
    </row>
    <row r="46" spans="1:53" ht="28" x14ac:dyDescent="0.35">
      <c r="A46" s="154" t="s">
        <v>21</v>
      </c>
      <c r="B46" s="154" t="s">
        <v>44</v>
      </c>
      <c r="C46" s="154" t="s">
        <v>46</v>
      </c>
      <c r="D46" s="1"/>
      <c r="E46" s="1"/>
      <c r="F46" s="1"/>
      <c r="G46" s="1"/>
    </row>
    <row r="47" spans="1:53" ht="28" x14ac:dyDescent="0.35">
      <c r="A47" s="154" t="s">
        <v>21</v>
      </c>
      <c r="B47" s="154" t="s">
        <v>44</v>
      </c>
      <c r="C47" s="154" t="s">
        <v>46</v>
      </c>
      <c r="D47" s="1"/>
      <c r="E47" s="1"/>
      <c r="F47" s="1"/>
      <c r="G47" s="1"/>
    </row>
    <row r="48" spans="1:53" ht="28" x14ac:dyDescent="0.35">
      <c r="A48" s="154" t="s">
        <v>21</v>
      </c>
      <c r="B48" s="154" t="s">
        <v>44</v>
      </c>
      <c r="C48" s="154" t="s">
        <v>46</v>
      </c>
      <c r="D48" s="1"/>
      <c r="E48" s="1"/>
      <c r="F48" s="1"/>
      <c r="G48" s="1"/>
    </row>
    <row r="49" spans="1:7" ht="28" x14ac:dyDescent="0.35">
      <c r="A49" s="154" t="s">
        <v>21</v>
      </c>
      <c r="B49" s="154" t="s">
        <v>44</v>
      </c>
      <c r="C49" s="154" t="s">
        <v>46</v>
      </c>
      <c r="D49" s="1"/>
      <c r="E49" s="1"/>
      <c r="F49" s="1"/>
      <c r="G49" s="1"/>
    </row>
    <row r="50" spans="1:7" ht="28" x14ac:dyDescent="0.35">
      <c r="A50" s="154" t="s">
        <v>21</v>
      </c>
      <c r="B50" s="154" t="s">
        <v>44</v>
      </c>
      <c r="C50" s="154" t="s">
        <v>46</v>
      </c>
      <c r="D50" s="1"/>
      <c r="E50" s="1"/>
      <c r="F50" s="1"/>
      <c r="G50" s="1"/>
    </row>
    <row r="51" spans="1:7" ht="28" x14ac:dyDescent="0.35">
      <c r="A51" s="154" t="s">
        <v>21</v>
      </c>
      <c r="B51" s="154" t="s">
        <v>44</v>
      </c>
      <c r="C51" s="154" t="s">
        <v>46</v>
      </c>
      <c r="D51" s="1"/>
      <c r="E51" s="1"/>
      <c r="F51" s="1"/>
      <c r="G51" s="1"/>
    </row>
    <row r="52" spans="1:7" ht="28" x14ac:dyDescent="0.35">
      <c r="A52" s="154" t="s">
        <v>21</v>
      </c>
      <c r="B52" s="154" t="s">
        <v>44</v>
      </c>
      <c r="C52" s="154" t="s">
        <v>46</v>
      </c>
      <c r="D52" s="1"/>
      <c r="E52" s="1"/>
      <c r="F52" s="1"/>
      <c r="G52" s="1"/>
    </row>
    <row r="53" spans="1:7" ht="28" x14ac:dyDescent="0.35">
      <c r="A53" s="154" t="s">
        <v>21</v>
      </c>
      <c r="B53" s="154" t="s">
        <v>44</v>
      </c>
      <c r="C53" s="154" t="s">
        <v>46</v>
      </c>
      <c r="D53" s="1"/>
      <c r="E53" s="1"/>
      <c r="F53" s="1"/>
      <c r="G53" s="1"/>
    </row>
    <row r="54" spans="1:7" ht="28" x14ac:dyDescent="0.35">
      <c r="A54" s="154" t="s">
        <v>21</v>
      </c>
      <c r="B54" s="154" t="s">
        <v>44</v>
      </c>
      <c r="C54" s="154" t="s">
        <v>46</v>
      </c>
      <c r="D54" s="1"/>
      <c r="E54" s="1"/>
      <c r="F54" s="1"/>
      <c r="G54" s="1"/>
    </row>
    <row r="55" spans="1:7" ht="28" x14ac:dyDescent="0.35">
      <c r="A55" s="154" t="s">
        <v>21</v>
      </c>
      <c r="B55" s="154" t="s">
        <v>44</v>
      </c>
      <c r="C55" s="154" t="s">
        <v>46</v>
      </c>
      <c r="D55" s="1"/>
      <c r="E55" s="1"/>
      <c r="F55" s="1"/>
      <c r="G55" s="1"/>
    </row>
    <row r="56" spans="1:7" ht="28" x14ac:dyDescent="0.35">
      <c r="A56" s="154" t="s">
        <v>21</v>
      </c>
      <c r="B56" s="154" t="s">
        <v>44</v>
      </c>
      <c r="C56" s="154" t="s">
        <v>46</v>
      </c>
      <c r="D56" s="1"/>
      <c r="E56" s="1"/>
      <c r="F56" s="1"/>
      <c r="G56" s="1"/>
    </row>
    <row r="57" spans="1:7" ht="28" x14ac:dyDescent="0.35">
      <c r="A57" s="154" t="s">
        <v>21</v>
      </c>
      <c r="B57" s="154" t="s">
        <v>44</v>
      </c>
      <c r="C57" s="154" t="s">
        <v>47</v>
      </c>
      <c r="D57" s="1"/>
      <c r="E57" s="1"/>
      <c r="F57" s="1"/>
      <c r="G57" s="1"/>
    </row>
    <row r="58" spans="1:7" ht="28" x14ac:dyDescent="0.35">
      <c r="A58" s="154" t="s">
        <v>21</v>
      </c>
      <c r="B58" s="154" t="s">
        <v>44</v>
      </c>
      <c r="C58" s="154" t="s">
        <v>47</v>
      </c>
      <c r="D58" s="1"/>
      <c r="E58" s="1"/>
      <c r="F58" s="1"/>
      <c r="G58" s="1"/>
    </row>
    <row r="59" spans="1:7" ht="28" x14ac:dyDescent="0.35">
      <c r="A59" s="154" t="s">
        <v>21</v>
      </c>
      <c r="B59" s="154" t="s">
        <v>44</v>
      </c>
      <c r="C59" s="154" t="s">
        <v>47</v>
      </c>
      <c r="D59" s="1"/>
      <c r="E59" s="1"/>
      <c r="F59" s="1"/>
      <c r="G59" s="1"/>
    </row>
    <row r="60" spans="1:7" ht="28" x14ac:dyDescent="0.35">
      <c r="A60" s="154" t="s">
        <v>21</v>
      </c>
      <c r="B60" s="154" t="s">
        <v>44</v>
      </c>
      <c r="C60" s="154" t="s">
        <v>47</v>
      </c>
      <c r="D60" s="1"/>
      <c r="E60" s="1"/>
      <c r="F60" s="1"/>
      <c r="G60" s="1"/>
    </row>
    <row r="61" spans="1:7" ht="28" x14ac:dyDescent="0.35">
      <c r="A61" s="154" t="s">
        <v>21</v>
      </c>
      <c r="B61" s="154" t="s">
        <v>44</v>
      </c>
      <c r="C61" s="154" t="s">
        <v>47</v>
      </c>
      <c r="D61" s="1"/>
      <c r="E61" s="1"/>
      <c r="F61" s="1"/>
      <c r="G61" s="1"/>
    </row>
    <row r="62" spans="1:7" ht="28" x14ac:dyDescent="0.35">
      <c r="A62" s="154" t="s">
        <v>21</v>
      </c>
      <c r="B62" s="154" t="s">
        <v>44</v>
      </c>
      <c r="C62" s="154" t="s">
        <v>47</v>
      </c>
      <c r="D62" s="1"/>
      <c r="E62" s="1"/>
      <c r="F62" s="1"/>
      <c r="G62" s="1"/>
    </row>
    <row r="63" spans="1:7" ht="28" x14ac:dyDescent="0.35">
      <c r="A63" s="154" t="s">
        <v>21</v>
      </c>
      <c r="B63" s="154" t="s">
        <v>44</v>
      </c>
      <c r="C63" s="154" t="s">
        <v>47</v>
      </c>
      <c r="D63" s="1"/>
      <c r="E63" s="1"/>
      <c r="F63" s="1"/>
      <c r="G63" s="1"/>
    </row>
    <row r="64" spans="1:7" ht="28" x14ac:dyDescent="0.35">
      <c r="A64" s="154" t="s">
        <v>21</v>
      </c>
      <c r="B64" s="154" t="s">
        <v>44</v>
      </c>
      <c r="C64" s="154" t="s">
        <v>47</v>
      </c>
      <c r="D64" s="1"/>
      <c r="E64" s="1"/>
      <c r="F64" s="1"/>
      <c r="G64" s="1"/>
    </row>
    <row r="65" spans="1:7" ht="28" x14ac:dyDescent="0.35">
      <c r="A65" s="154" t="s">
        <v>21</v>
      </c>
      <c r="B65" s="154" t="s">
        <v>44</v>
      </c>
      <c r="C65" s="154" t="s">
        <v>47</v>
      </c>
      <c r="D65" s="1"/>
      <c r="E65" s="1"/>
      <c r="F65" s="1"/>
      <c r="G65" s="1"/>
    </row>
    <row r="66" spans="1:7" ht="28" x14ac:dyDescent="0.35">
      <c r="A66" s="154" t="s">
        <v>21</v>
      </c>
      <c r="B66" s="154" t="s">
        <v>44</v>
      </c>
      <c r="C66" s="154" t="s">
        <v>47</v>
      </c>
      <c r="D66" s="1"/>
      <c r="E66" s="1"/>
      <c r="F66" s="1"/>
      <c r="G66" s="1"/>
    </row>
    <row r="67" spans="1:7" ht="28" x14ac:dyDescent="0.35">
      <c r="A67" s="154" t="s">
        <v>21</v>
      </c>
      <c r="B67" s="154" t="s">
        <v>44</v>
      </c>
      <c r="C67" s="154" t="s">
        <v>47</v>
      </c>
      <c r="D67" s="1"/>
      <c r="E67" s="1"/>
      <c r="F67" s="1"/>
      <c r="G67" s="1"/>
    </row>
    <row r="68" spans="1:7" ht="42" x14ac:dyDescent="0.35">
      <c r="A68" s="154" t="s">
        <v>21</v>
      </c>
      <c r="B68" s="154" t="s">
        <v>44</v>
      </c>
      <c r="C68" s="154" t="s">
        <v>48</v>
      </c>
      <c r="D68" s="1"/>
      <c r="E68" s="1"/>
      <c r="F68" s="1"/>
      <c r="G68" s="1"/>
    </row>
    <row r="69" spans="1:7" ht="42" x14ac:dyDescent="0.35">
      <c r="A69" s="154" t="s">
        <v>21</v>
      </c>
      <c r="B69" s="154" t="s">
        <v>44</v>
      </c>
      <c r="C69" s="154" t="s">
        <v>48</v>
      </c>
      <c r="D69" s="1"/>
      <c r="E69" s="1"/>
      <c r="F69" s="1"/>
      <c r="G69" s="1"/>
    </row>
    <row r="70" spans="1:7" ht="42" x14ac:dyDescent="0.35">
      <c r="A70" s="154" t="s">
        <v>21</v>
      </c>
      <c r="B70" s="154" t="s">
        <v>44</v>
      </c>
      <c r="C70" s="154" t="s">
        <v>48</v>
      </c>
      <c r="D70" s="1"/>
      <c r="E70" s="1"/>
      <c r="F70" s="1"/>
      <c r="G70" s="1"/>
    </row>
    <row r="71" spans="1:7" ht="42" x14ac:dyDescent="0.35">
      <c r="A71" s="154" t="s">
        <v>21</v>
      </c>
      <c r="B71" s="154" t="s">
        <v>44</v>
      </c>
      <c r="C71" s="154" t="s">
        <v>48</v>
      </c>
      <c r="D71" s="1"/>
      <c r="E71" s="1"/>
      <c r="F71" s="1"/>
      <c r="G71" s="1"/>
    </row>
    <row r="72" spans="1:7" ht="42" x14ac:dyDescent="0.35">
      <c r="A72" s="154" t="s">
        <v>21</v>
      </c>
      <c r="B72" s="154" t="s">
        <v>44</v>
      </c>
      <c r="C72" s="154" t="s">
        <v>48</v>
      </c>
      <c r="D72" s="1"/>
      <c r="E72" s="1"/>
      <c r="F72" s="1"/>
      <c r="G72" s="1"/>
    </row>
    <row r="73" spans="1:7" ht="42" x14ac:dyDescent="0.35">
      <c r="A73" s="154" t="s">
        <v>21</v>
      </c>
      <c r="B73" s="154" t="s">
        <v>44</v>
      </c>
      <c r="C73" s="154" t="s">
        <v>48</v>
      </c>
      <c r="D73" s="1"/>
      <c r="E73" s="1"/>
      <c r="F73" s="1"/>
      <c r="G73" s="1"/>
    </row>
    <row r="74" spans="1:7" ht="42" x14ac:dyDescent="0.35">
      <c r="A74" s="154" t="s">
        <v>21</v>
      </c>
      <c r="B74" s="154" t="s">
        <v>44</v>
      </c>
      <c r="C74" s="154" t="s">
        <v>48</v>
      </c>
      <c r="D74" s="1"/>
      <c r="E74" s="1"/>
      <c r="F74" s="1"/>
      <c r="G74" s="1"/>
    </row>
    <row r="75" spans="1:7" ht="42" x14ac:dyDescent="0.35">
      <c r="A75" s="154" t="s">
        <v>21</v>
      </c>
      <c r="B75" s="154" t="s">
        <v>44</v>
      </c>
      <c r="C75" s="154" t="s">
        <v>48</v>
      </c>
      <c r="D75" s="1"/>
      <c r="E75" s="1"/>
      <c r="F75" s="1"/>
      <c r="G75" s="1"/>
    </row>
    <row r="76" spans="1:7" ht="42" x14ac:dyDescent="0.35">
      <c r="A76" s="154" t="s">
        <v>21</v>
      </c>
      <c r="B76" s="154" t="s">
        <v>44</v>
      </c>
      <c r="C76" s="154" t="s">
        <v>48</v>
      </c>
      <c r="D76" s="1"/>
      <c r="E76" s="1"/>
      <c r="F76" s="1"/>
      <c r="G76" s="1"/>
    </row>
    <row r="77" spans="1:7" ht="42" x14ac:dyDescent="0.35">
      <c r="A77" s="154" t="s">
        <v>21</v>
      </c>
      <c r="B77" s="154" t="s">
        <v>44</v>
      </c>
      <c r="C77" s="154" t="s">
        <v>48</v>
      </c>
      <c r="D77" s="1"/>
      <c r="E77" s="1"/>
      <c r="F77" s="1"/>
      <c r="G77" s="1"/>
    </row>
    <row r="78" spans="1:7" ht="42" x14ac:dyDescent="0.35">
      <c r="A78" s="154" t="s">
        <v>21</v>
      </c>
      <c r="B78" s="154" t="s">
        <v>44</v>
      </c>
      <c r="C78" s="154" t="s">
        <v>48</v>
      </c>
      <c r="D78" s="1"/>
      <c r="E78" s="1"/>
      <c r="F78" s="1"/>
      <c r="G78" s="1"/>
    </row>
    <row r="79" spans="1:7" ht="42" x14ac:dyDescent="0.35">
      <c r="A79" s="154" t="s">
        <v>21</v>
      </c>
      <c r="B79" s="154" t="s">
        <v>44</v>
      </c>
      <c r="C79" s="154" t="s">
        <v>48</v>
      </c>
      <c r="D79" s="1"/>
      <c r="E79" s="1"/>
      <c r="F79" s="1"/>
      <c r="G79" s="1"/>
    </row>
    <row r="80" spans="1:7" ht="42" x14ac:dyDescent="0.35">
      <c r="A80" s="154" t="s">
        <v>21</v>
      </c>
      <c r="B80" s="154" t="s">
        <v>44</v>
      </c>
      <c r="C80" s="154" t="s">
        <v>48</v>
      </c>
      <c r="D80" s="1"/>
      <c r="E80" s="1"/>
      <c r="F80" s="1"/>
      <c r="G80" s="1"/>
    </row>
    <row r="81" spans="1:7" ht="42" x14ac:dyDescent="0.35">
      <c r="A81" s="154" t="s">
        <v>21</v>
      </c>
      <c r="B81" s="154" t="s">
        <v>44</v>
      </c>
      <c r="C81" s="154" t="s">
        <v>48</v>
      </c>
      <c r="D81" s="1"/>
      <c r="E81" s="1"/>
      <c r="F81" s="1"/>
      <c r="G81" s="1"/>
    </row>
    <row r="82" spans="1:7" ht="42" x14ac:dyDescent="0.35">
      <c r="A82" s="154" t="s">
        <v>21</v>
      </c>
      <c r="B82" s="154" t="s">
        <v>44</v>
      </c>
      <c r="C82" s="154" t="s">
        <v>48</v>
      </c>
      <c r="D82" s="1"/>
      <c r="E82" s="1"/>
      <c r="F82" s="1"/>
      <c r="G82" s="1"/>
    </row>
    <row r="83" spans="1:7" ht="42" x14ac:dyDescent="0.35">
      <c r="A83" s="154" t="s">
        <v>21</v>
      </c>
      <c r="B83" s="154" t="s">
        <v>44</v>
      </c>
      <c r="C83" s="154" t="s">
        <v>48</v>
      </c>
      <c r="D83" s="1"/>
      <c r="E83" s="1"/>
      <c r="F83" s="1"/>
      <c r="G83" s="1"/>
    </row>
    <row r="84" spans="1:7" ht="42" x14ac:dyDescent="0.35">
      <c r="A84" s="154" t="s">
        <v>21</v>
      </c>
      <c r="B84" s="154" t="s">
        <v>44</v>
      </c>
      <c r="C84" s="154" t="s">
        <v>48</v>
      </c>
      <c r="D84" s="1"/>
      <c r="E84" s="1"/>
      <c r="F84" s="1"/>
      <c r="G84" s="1"/>
    </row>
    <row r="85" spans="1:7" ht="42" x14ac:dyDescent="0.35">
      <c r="A85" s="154" t="s">
        <v>21</v>
      </c>
      <c r="B85" s="154" t="s">
        <v>44</v>
      </c>
      <c r="C85" s="154" t="s">
        <v>48</v>
      </c>
      <c r="D85" s="1"/>
      <c r="E85" s="1"/>
      <c r="F85" s="1"/>
      <c r="G85" s="1"/>
    </row>
    <row r="86" spans="1:7" ht="42" x14ac:dyDescent="0.35">
      <c r="A86" s="154" t="s">
        <v>21</v>
      </c>
      <c r="B86" s="154" t="s">
        <v>44</v>
      </c>
      <c r="C86" s="154" t="s">
        <v>48</v>
      </c>
      <c r="D86" s="1"/>
      <c r="E86" s="1"/>
      <c r="F86" s="1"/>
      <c r="G86" s="1"/>
    </row>
    <row r="87" spans="1:7" ht="42" x14ac:dyDescent="0.35">
      <c r="A87" s="154" t="s">
        <v>21</v>
      </c>
      <c r="B87" s="154" t="s">
        <v>44</v>
      </c>
      <c r="C87" s="154" t="s">
        <v>48</v>
      </c>
      <c r="D87" s="1"/>
      <c r="E87" s="1"/>
      <c r="F87" s="1"/>
      <c r="G87" s="1"/>
    </row>
    <row r="88" spans="1:7" ht="42" x14ac:dyDescent="0.35">
      <c r="A88" s="154" t="s">
        <v>21</v>
      </c>
      <c r="B88" s="154" t="s">
        <v>44</v>
      </c>
      <c r="C88" s="154" t="s">
        <v>48</v>
      </c>
      <c r="D88" s="1"/>
      <c r="E88" s="1"/>
      <c r="F88" s="1"/>
      <c r="G88" s="1"/>
    </row>
    <row r="89" spans="1:7" ht="42" x14ac:dyDescent="0.35">
      <c r="A89" s="154" t="s">
        <v>21</v>
      </c>
      <c r="B89" s="154" t="s">
        <v>44</v>
      </c>
      <c r="C89" s="154" t="s">
        <v>48</v>
      </c>
      <c r="D89" s="1"/>
      <c r="E89" s="1"/>
      <c r="F89" s="1"/>
      <c r="G89" s="1"/>
    </row>
    <row r="90" spans="1:7" ht="42" x14ac:dyDescent="0.35">
      <c r="A90" s="154" t="s">
        <v>21</v>
      </c>
      <c r="B90" s="154" t="s">
        <v>44</v>
      </c>
      <c r="C90" s="154" t="s">
        <v>48</v>
      </c>
      <c r="D90" s="1"/>
      <c r="E90" s="1"/>
      <c r="F90" s="1"/>
      <c r="G90" s="1"/>
    </row>
    <row r="91" spans="1:7" ht="28" x14ac:dyDescent="0.35">
      <c r="A91" s="154" t="s">
        <v>21</v>
      </c>
      <c r="B91" s="154" t="s">
        <v>44</v>
      </c>
      <c r="C91" s="154" t="s">
        <v>1745</v>
      </c>
      <c r="D91" s="1"/>
      <c r="E91" s="1"/>
      <c r="F91" s="1"/>
      <c r="G91" s="1"/>
    </row>
    <row r="92" spans="1:7" ht="28" x14ac:dyDescent="0.35">
      <c r="A92" s="154" t="s">
        <v>21</v>
      </c>
      <c r="B92" s="154" t="s">
        <v>44</v>
      </c>
      <c r="C92" s="154" t="s">
        <v>1745</v>
      </c>
      <c r="D92" s="1"/>
      <c r="E92" s="1"/>
      <c r="F92" s="1"/>
      <c r="G92" s="1"/>
    </row>
    <row r="93" spans="1:7" ht="28" x14ac:dyDescent="0.35">
      <c r="A93" s="154" t="s">
        <v>21</v>
      </c>
      <c r="B93" s="154" t="s">
        <v>44</v>
      </c>
      <c r="C93" s="154" t="s">
        <v>1745</v>
      </c>
      <c r="D93" s="1"/>
      <c r="E93" s="1"/>
      <c r="F93" s="1"/>
      <c r="G93" s="1"/>
    </row>
    <row r="94" spans="1:7" ht="28" x14ac:dyDescent="0.35">
      <c r="A94" s="154" t="s">
        <v>21</v>
      </c>
      <c r="B94" s="154" t="s">
        <v>44</v>
      </c>
      <c r="C94" s="154" t="s">
        <v>1745</v>
      </c>
      <c r="D94" s="1"/>
      <c r="E94" s="1"/>
      <c r="F94" s="1"/>
      <c r="G94" s="1"/>
    </row>
    <row r="95" spans="1:7" ht="28" x14ac:dyDescent="0.35">
      <c r="A95" s="154" t="s">
        <v>21</v>
      </c>
      <c r="B95" s="154" t="s">
        <v>44</v>
      </c>
      <c r="C95" s="154" t="s">
        <v>1745</v>
      </c>
      <c r="D95" s="1"/>
      <c r="E95" s="1"/>
      <c r="F95" s="1"/>
      <c r="G95" s="1"/>
    </row>
    <row r="96" spans="1:7" ht="28" x14ac:dyDescent="0.35">
      <c r="A96" s="154" t="s">
        <v>21</v>
      </c>
      <c r="B96" s="154" t="s">
        <v>44</v>
      </c>
      <c r="C96" s="154" t="s">
        <v>1745</v>
      </c>
      <c r="D96" s="1"/>
      <c r="E96" s="1"/>
      <c r="F96" s="1"/>
      <c r="G96" s="1"/>
    </row>
    <row r="97" spans="1:7" ht="28" x14ac:dyDescent="0.35">
      <c r="A97" s="154" t="s">
        <v>21</v>
      </c>
      <c r="B97" s="154" t="s">
        <v>44</v>
      </c>
      <c r="C97" s="154" t="s">
        <v>1745</v>
      </c>
      <c r="D97" s="1"/>
      <c r="E97" s="1"/>
      <c r="F97" s="1"/>
      <c r="G97" s="1"/>
    </row>
    <row r="98" spans="1:7" ht="28" x14ac:dyDescent="0.35">
      <c r="A98" s="154" t="s">
        <v>21</v>
      </c>
      <c r="B98" s="154" t="s">
        <v>44</v>
      </c>
      <c r="C98" s="154" t="s">
        <v>1745</v>
      </c>
      <c r="D98" s="1"/>
      <c r="E98" s="1"/>
      <c r="F98" s="1"/>
      <c r="G98" s="1"/>
    </row>
    <row r="99" spans="1:7" ht="28" x14ac:dyDescent="0.35">
      <c r="A99" s="154" t="s">
        <v>21</v>
      </c>
      <c r="B99" s="154" t="s">
        <v>44</v>
      </c>
      <c r="C99" s="154" t="s">
        <v>1745</v>
      </c>
      <c r="D99" s="1"/>
      <c r="E99" s="1"/>
      <c r="F99" s="1"/>
      <c r="G99" s="1"/>
    </row>
    <row r="100" spans="1:7" ht="28" x14ac:dyDescent="0.35">
      <c r="A100" s="154" t="s">
        <v>21</v>
      </c>
      <c r="B100" s="154" t="s">
        <v>44</v>
      </c>
      <c r="C100" s="154" t="s">
        <v>1745</v>
      </c>
      <c r="D100" s="1"/>
      <c r="E100" s="1"/>
      <c r="F100" s="1"/>
      <c r="G100" s="1"/>
    </row>
    <row r="101" spans="1:7" ht="28" x14ac:dyDescent="0.35">
      <c r="A101" s="154" t="s">
        <v>21</v>
      </c>
      <c r="B101" s="154" t="s">
        <v>44</v>
      </c>
      <c r="C101" s="154" t="s">
        <v>1745</v>
      </c>
      <c r="D101" s="1"/>
      <c r="E101" s="1"/>
      <c r="F101" s="1"/>
      <c r="G101" s="1"/>
    </row>
    <row r="102" spans="1:7" ht="28" x14ac:dyDescent="0.35">
      <c r="A102" s="154" t="s">
        <v>21</v>
      </c>
      <c r="B102" s="154" t="s">
        <v>44</v>
      </c>
      <c r="C102" s="154" t="s">
        <v>1745</v>
      </c>
      <c r="D102" s="1"/>
      <c r="E102" s="1"/>
      <c r="F102" s="1"/>
      <c r="G102" s="1"/>
    </row>
    <row r="103" spans="1:7" ht="28" x14ac:dyDescent="0.35">
      <c r="A103" s="154" t="s">
        <v>21</v>
      </c>
      <c r="B103" s="154" t="s">
        <v>44</v>
      </c>
      <c r="C103" s="154" t="s">
        <v>1745</v>
      </c>
      <c r="D103" s="1"/>
      <c r="E103" s="1"/>
      <c r="F103" s="1"/>
      <c r="G103" s="1"/>
    </row>
    <row r="104" spans="1:7" ht="28" x14ac:dyDescent="0.35">
      <c r="A104" s="154" t="s">
        <v>21</v>
      </c>
      <c r="B104" s="154" t="s">
        <v>44</v>
      </c>
      <c r="C104" s="154" t="s">
        <v>1745</v>
      </c>
      <c r="D104" s="1"/>
      <c r="E104" s="1"/>
      <c r="F104" s="1"/>
      <c r="G104" s="1"/>
    </row>
    <row r="105" spans="1:7" ht="28" x14ac:dyDescent="0.35">
      <c r="A105" s="154" t="s">
        <v>21</v>
      </c>
      <c r="B105" s="154" t="s">
        <v>44</v>
      </c>
      <c r="C105" s="154" t="s">
        <v>1745</v>
      </c>
      <c r="D105" s="1"/>
      <c r="E105" s="1"/>
      <c r="F105" s="1"/>
      <c r="G105" s="1"/>
    </row>
    <row r="106" spans="1:7" ht="28" x14ac:dyDescent="0.35">
      <c r="A106" s="154" t="s">
        <v>21</v>
      </c>
      <c r="B106" s="154" t="s">
        <v>44</v>
      </c>
      <c r="C106" s="154" t="s">
        <v>1745</v>
      </c>
      <c r="D106" s="1"/>
      <c r="E106" s="1"/>
      <c r="F106" s="1"/>
      <c r="G106" s="1"/>
    </row>
    <row r="107" spans="1:7" ht="28" x14ac:dyDescent="0.35">
      <c r="A107" s="154" t="s">
        <v>21</v>
      </c>
      <c r="B107" s="154" t="s">
        <v>44</v>
      </c>
      <c r="C107" s="154" t="s">
        <v>1745</v>
      </c>
      <c r="D107" s="1"/>
      <c r="E107" s="1"/>
      <c r="F107" s="1"/>
      <c r="G107" s="1"/>
    </row>
    <row r="108" spans="1:7" ht="28" x14ac:dyDescent="0.35">
      <c r="A108" s="154" t="s">
        <v>21</v>
      </c>
      <c r="B108" s="154" t="s">
        <v>44</v>
      </c>
      <c r="C108" s="154" t="s">
        <v>1745</v>
      </c>
      <c r="D108" s="1"/>
      <c r="E108" s="1"/>
      <c r="F108" s="1"/>
      <c r="G108" s="1"/>
    </row>
    <row r="109" spans="1:7" ht="42" x14ac:dyDescent="0.35">
      <c r="A109" s="154" t="s">
        <v>21</v>
      </c>
      <c r="B109" s="154" t="s">
        <v>44</v>
      </c>
      <c r="C109" s="154" t="s">
        <v>50</v>
      </c>
      <c r="D109" s="1"/>
      <c r="E109" s="1"/>
      <c r="F109" s="1"/>
      <c r="G109" s="1"/>
    </row>
    <row r="110" spans="1:7" ht="42" x14ac:dyDescent="0.35">
      <c r="A110" s="154" t="s">
        <v>21</v>
      </c>
      <c r="B110" s="154" t="s">
        <v>44</v>
      </c>
      <c r="C110" s="154" t="s">
        <v>50</v>
      </c>
      <c r="D110" s="1"/>
      <c r="E110" s="1"/>
      <c r="F110" s="1"/>
      <c r="G110" s="1"/>
    </row>
    <row r="111" spans="1:7" ht="42" x14ac:dyDescent="0.35">
      <c r="A111" s="154" t="s">
        <v>21</v>
      </c>
      <c r="B111" s="154" t="s">
        <v>44</v>
      </c>
      <c r="C111" s="154" t="s">
        <v>50</v>
      </c>
      <c r="D111" s="1"/>
      <c r="E111" s="1"/>
      <c r="F111" s="1"/>
      <c r="G111" s="1"/>
    </row>
    <row r="112" spans="1:7" ht="42" x14ac:dyDescent="0.35">
      <c r="A112" s="154" t="s">
        <v>21</v>
      </c>
      <c r="B112" s="154" t="s">
        <v>44</v>
      </c>
      <c r="C112" s="154" t="s">
        <v>50</v>
      </c>
      <c r="D112" s="1"/>
      <c r="E112" s="1"/>
      <c r="F112" s="1"/>
      <c r="G112" s="1"/>
    </row>
    <row r="113" spans="1:7" ht="42" x14ac:dyDescent="0.35">
      <c r="A113" s="154" t="s">
        <v>21</v>
      </c>
      <c r="B113" s="154" t="s">
        <v>44</v>
      </c>
      <c r="C113" s="154" t="s">
        <v>50</v>
      </c>
      <c r="D113" s="1"/>
      <c r="E113" s="1"/>
      <c r="F113" s="1"/>
      <c r="G113" s="1"/>
    </row>
    <row r="114" spans="1:7" ht="42" x14ac:dyDescent="0.35">
      <c r="A114" s="154" t="s">
        <v>21</v>
      </c>
      <c r="B114" s="154" t="s">
        <v>44</v>
      </c>
      <c r="C114" s="154" t="s">
        <v>50</v>
      </c>
      <c r="D114" s="1"/>
      <c r="E114" s="1"/>
      <c r="F114" s="1"/>
      <c r="G114" s="1"/>
    </row>
    <row r="115" spans="1:7" ht="42" x14ac:dyDescent="0.35">
      <c r="A115" s="154" t="s">
        <v>21</v>
      </c>
      <c r="B115" s="154" t="s">
        <v>44</v>
      </c>
      <c r="C115" s="154" t="s">
        <v>50</v>
      </c>
      <c r="D115" s="1"/>
      <c r="E115" s="1"/>
      <c r="F115" s="1"/>
      <c r="G115" s="1"/>
    </row>
    <row r="116" spans="1:7" ht="42" x14ac:dyDescent="0.35">
      <c r="A116" s="154" t="s">
        <v>21</v>
      </c>
      <c r="B116" s="154" t="s">
        <v>44</v>
      </c>
      <c r="C116" s="154" t="s">
        <v>50</v>
      </c>
      <c r="D116" s="1"/>
      <c r="E116" s="1"/>
      <c r="F116" s="1"/>
      <c r="G116" s="1"/>
    </row>
    <row r="117" spans="1:7" ht="42" x14ac:dyDescent="0.35">
      <c r="A117" s="154" t="s">
        <v>21</v>
      </c>
      <c r="B117" s="154" t="s">
        <v>44</v>
      </c>
      <c r="C117" s="154" t="s">
        <v>50</v>
      </c>
      <c r="D117" s="1"/>
      <c r="E117" s="1"/>
      <c r="F117" s="1"/>
      <c r="G117" s="1"/>
    </row>
    <row r="118" spans="1:7" ht="42" x14ac:dyDescent="0.35">
      <c r="A118" s="154" t="s">
        <v>21</v>
      </c>
      <c r="B118" s="154" t="s">
        <v>44</v>
      </c>
      <c r="C118" s="154" t="s">
        <v>50</v>
      </c>
      <c r="D118" s="1"/>
      <c r="E118" s="1"/>
      <c r="F118" s="1"/>
      <c r="G118" s="1"/>
    </row>
    <row r="119" spans="1:7" ht="42" x14ac:dyDescent="0.35">
      <c r="A119" s="154" t="s">
        <v>21</v>
      </c>
      <c r="B119" s="154" t="s">
        <v>44</v>
      </c>
      <c r="C119" s="154" t="s">
        <v>50</v>
      </c>
      <c r="D119" s="1"/>
      <c r="E119" s="1"/>
      <c r="F119" s="1"/>
      <c r="G119" s="1"/>
    </row>
    <row r="120" spans="1:7" ht="42" x14ac:dyDescent="0.35">
      <c r="A120" s="154" t="s">
        <v>21</v>
      </c>
      <c r="B120" s="154" t="s">
        <v>44</v>
      </c>
      <c r="C120" s="154" t="s">
        <v>50</v>
      </c>
      <c r="D120" s="1"/>
      <c r="E120" s="1"/>
      <c r="F120" s="1"/>
      <c r="G120" s="1"/>
    </row>
    <row r="121" spans="1:7" ht="42" x14ac:dyDescent="0.35">
      <c r="A121" s="154" t="s">
        <v>21</v>
      </c>
      <c r="B121" s="154" t="s">
        <v>44</v>
      </c>
      <c r="C121" s="154" t="s">
        <v>50</v>
      </c>
      <c r="D121" s="1"/>
      <c r="E121" s="1"/>
      <c r="F121" s="1"/>
      <c r="G121" s="1"/>
    </row>
    <row r="122" spans="1:7" ht="42" x14ac:dyDescent="0.35">
      <c r="A122" s="154" t="s">
        <v>21</v>
      </c>
      <c r="B122" s="154" t="s">
        <v>44</v>
      </c>
      <c r="C122" s="154" t="s">
        <v>50</v>
      </c>
      <c r="D122" s="1"/>
      <c r="E122" s="1"/>
      <c r="F122" s="1"/>
      <c r="G122" s="1"/>
    </row>
    <row r="123" spans="1:7" ht="42" x14ac:dyDescent="0.35">
      <c r="A123" s="154" t="s">
        <v>21</v>
      </c>
      <c r="B123" s="154" t="s">
        <v>44</v>
      </c>
      <c r="C123" s="154" t="s">
        <v>50</v>
      </c>
      <c r="D123" s="1"/>
      <c r="E123" s="1"/>
      <c r="F123" s="1"/>
      <c r="G123" s="1"/>
    </row>
    <row r="124" spans="1:7" ht="42" x14ac:dyDescent="0.35">
      <c r="A124" s="154" t="s">
        <v>21</v>
      </c>
      <c r="B124" s="154" t="s">
        <v>44</v>
      </c>
      <c r="C124" s="154" t="s">
        <v>50</v>
      </c>
      <c r="D124" s="1"/>
      <c r="E124" s="1"/>
      <c r="F124" s="1"/>
      <c r="G124" s="1"/>
    </row>
    <row r="125" spans="1:7" ht="42" x14ac:dyDescent="0.35">
      <c r="A125" s="154" t="s">
        <v>21</v>
      </c>
      <c r="B125" s="154" t="s">
        <v>44</v>
      </c>
      <c r="C125" s="154" t="s">
        <v>50</v>
      </c>
      <c r="D125" s="1"/>
      <c r="E125" s="1"/>
      <c r="F125" s="1"/>
      <c r="G125" s="1"/>
    </row>
    <row r="126" spans="1:7" ht="42" x14ac:dyDescent="0.35">
      <c r="A126" s="154" t="s">
        <v>21</v>
      </c>
      <c r="B126" s="154" t="s">
        <v>44</v>
      </c>
      <c r="C126" s="154" t="s">
        <v>50</v>
      </c>
      <c r="D126" s="1"/>
      <c r="E126" s="1"/>
      <c r="F126" s="1"/>
      <c r="G126" s="1"/>
    </row>
    <row r="127" spans="1:7" ht="42" x14ac:dyDescent="0.35">
      <c r="A127" s="154" t="s">
        <v>21</v>
      </c>
      <c r="B127" s="154" t="s">
        <v>44</v>
      </c>
      <c r="C127" s="154" t="s">
        <v>50</v>
      </c>
      <c r="D127" s="1"/>
      <c r="E127" s="1"/>
      <c r="F127" s="1"/>
      <c r="G127" s="1"/>
    </row>
    <row r="128" spans="1:7" ht="42" x14ac:dyDescent="0.35">
      <c r="A128" s="154" t="s">
        <v>21</v>
      </c>
      <c r="B128" s="154" t="s">
        <v>44</v>
      </c>
      <c r="C128" s="154" t="s">
        <v>50</v>
      </c>
      <c r="D128" s="1"/>
      <c r="E128" s="1"/>
      <c r="F128" s="1"/>
      <c r="G128" s="1"/>
    </row>
    <row r="129" spans="1:7" ht="42" x14ac:dyDescent="0.35">
      <c r="A129" s="154" t="s">
        <v>21</v>
      </c>
      <c r="B129" s="154" t="s">
        <v>44</v>
      </c>
      <c r="C129" s="154" t="s">
        <v>50</v>
      </c>
      <c r="D129" s="1"/>
      <c r="E129" s="1"/>
      <c r="F129" s="1"/>
      <c r="G129" s="1"/>
    </row>
    <row r="130" spans="1:7" ht="42" x14ac:dyDescent="0.35">
      <c r="A130" s="154" t="s">
        <v>21</v>
      </c>
      <c r="B130" s="154" t="s">
        <v>44</v>
      </c>
      <c r="C130" s="154" t="s">
        <v>50</v>
      </c>
      <c r="D130" s="1"/>
      <c r="E130" s="1"/>
      <c r="F130" s="1"/>
      <c r="G130" s="1"/>
    </row>
    <row r="131" spans="1:7" ht="42" x14ac:dyDescent="0.35">
      <c r="A131" s="154" t="s">
        <v>21</v>
      </c>
      <c r="B131" s="154" t="s">
        <v>44</v>
      </c>
      <c r="C131" s="154" t="s">
        <v>50</v>
      </c>
      <c r="D131" s="1"/>
      <c r="E131" s="1"/>
      <c r="F131" s="1"/>
      <c r="G131" s="1"/>
    </row>
    <row r="132" spans="1:7" ht="42" x14ac:dyDescent="0.35">
      <c r="A132" s="154" t="s">
        <v>21</v>
      </c>
      <c r="B132" s="154" t="s">
        <v>44</v>
      </c>
      <c r="C132" s="154" t="s">
        <v>50</v>
      </c>
      <c r="D132" s="1"/>
      <c r="E132" s="1"/>
      <c r="F132" s="1"/>
      <c r="G132" s="1"/>
    </row>
    <row r="133" spans="1:7" ht="42" x14ac:dyDescent="0.35">
      <c r="A133" s="154" t="s">
        <v>21</v>
      </c>
      <c r="B133" s="154" t="s">
        <v>44</v>
      </c>
      <c r="C133" s="154" t="s">
        <v>50</v>
      </c>
      <c r="D133" s="1"/>
      <c r="E133" s="1"/>
      <c r="F133" s="1"/>
      <c r="G133" s="1"/>
    </row>
    <row r="134" spans="1:7" ht="42" x14ac:dyDescent="0.35">
      <c r="A134" s="154" t="s">
        <v>21</v>
      </c>
      <c r="B134" s="154" t="s">
        <v>44</v>
      </c>
      <c r="C134" s="154" t="s">
        <v>50</v>
      </c>
      <c r="D134" s="1"/>
      <c r="E134" s="1"/>
      <c r="F134" s="1"/>
      <c r="G134" s="1"/>
    </row>
    <row r="135" spans="1:7" ht="42" x14ac:dyDescent="0.35">
      <c r="A135" s="154" t="s">
        <v>21</v>
      </c>
      <c r="B135" s="154" t="s">
        <v>44</v>
      </c>
      <c r="C135" s="154" t="s">
        <v>50</v>
      </c>
      <c r="D135" s="1"/>
      <c r="E135" s="1"/>
      <c r="F135" s="1"/>
      <c r="G135" s="1"/>
    </row>
    <row r="136" spans="1:7" ht="42" x14ac:dyDescent="0.35">
      <c r="A136" s="154" t="s">
        <v>21</v>
      </c>
      <c r="B136" s="154" t="s">
        <v>44</v>
      </c>
      <c r="C136" s="154" t="s">
        <v>50</v>
      </c>
      <c r="D136" s="1"/>
      <c r="E136" s="1"/>
      <c r="F136" s="1"/>
      <c r="G136" s="1"/>
    </row>
    <row r="137" spans="1:7" ht="42" x14ac:dyDescent="0.35">
      <c r="A137" s="154" t="s">
        <v>21</v>
      </c>
      <c r="B137" s="154" t="s">
        <v>44</v>
      </c>
      <c r="C137" s="154" t="s">
        <v>50</v>
      </c>
      <c r="D137" s="1"/>
      <c r="E137" s="1"/>
      <c r="F137" s="1"/>
      <c r="G137" s="1"/>
    </row>
    <row r="138" spans="1:7" ht="42" x14ac:dyDescent="0.35">
      <c r="A138" s="154" t="s">
        <v>21</v>
      </c>
      <c r="B138" s="154" t="s">
        <v>44</v>
      </c>
      <c r="C138" s="154" t="s">
        <v>50</v>
      </c>
      <c r="D138" s="1"/>
      <c r="E138" s="1"/>
      <c r="F138" s="1"/>
      <c r="G138" s="1"/>
    </row>
    <row r="139" spans="1:7" ht="42" x14ac:dyDescent="0.35">
      <c r="A139" s="154" t="s">
        <v>21</v>
      </c>
      <c r="B139" s="154" t="s">
        <v>44</v>
      </c>
      <c r="C139" s="154" t="s">
        <v>50</v>
      </c>
      <c r="D139" s="1"/>
      <c r="E139" s="1"/>
      <c r="F139" s="1"/>
      <c r="G139" s="1"/>
    </row>
    <row r="140" spans="1:7" ht="42" x14ac:dyDescent="0.35">
      <c r="A140" s="154" t="s">
        <v>21</v>
      </c>
      <c r="B140" s="154" t="s">
        <v>44</v>
      </c>
      <c r="C140" s="154" t="s">
        <v>50</v>
      </c>
      <c r="D140" s="1"/>
      <c r="E140" s="1"/>
      <c r="F140" s="1"/>
      <c r="G140" s="1"/>
    </row>
    <row r="141" spans="1:7" ht="42" x14ac:dyDescent="0.35">
      <c r="A141" s="154" t="s">
        <v>21</v>
      </c>
      <c r="B141" s="154" t="s">
        <v>44</v>
      </c>
      <c r="C141" s="154" t="s">
        <v>50</v>
      </c>
      <c r="D141" s="1"/>
      <c r="E141" s="1"/>
      <c r="F141" s="1"/>
      <c r="G141" s="1"/>
    </row>
    <row r="142" spans="1:7" ht="42" x14ac:dyDescent="0.35">
      <c r="A142" s="154" t="s">
        <v>21</v>
      </c>
      <c r="B142" s="154" t="s">
        <v>44</v>
      </c>
      <c r="C142" s="154" t="s">
        <v>50</v>
      </c>
      <c r="D142" s="1"/>
      <c r="E142" s="1"/>
      <c r="F142" s="1"/>
      <c r="G142" s="1"/>
    </row>
    <row r="143" spans="1:7" ht="42" x14ac:dyDescent="0.35">
      <c r="A143" s="154" t="s">
        <v>21</v>
      </c>
      <c r="B143" s="154" t="s">
        <v>44</v>
      </c>
      <c r="C143" s="154" t="s">
        <v>50</v>
      </c>
      <c r="D143" s="1"/>
      <c r="E143" s="1"/>
      <c r="F143" s="1"/>
      <c r="G143" s="1"/>
    </row>
    <row r="144" spans="1:7" ht="42" x14ac:dyDescent="0.35">
      <c r="A144" s="154" t="s">
        <v>21</v>
      </c>
      <c r="B144" s="154" t="s">
        <v>44</v>
      </c>
      <c r="C144" s="154" t="s">
        <v>50</v>
      </c>
      <c r="D144" s="1"/>
      <c r="E144" s="1"/>
      <c r="F144" s="1"/>
      <c r="G144" s="1"/>
    </row>
    <row r="145" spans="1:7" ht="42" x14ac:dyDescent="0.35">
      <c r="A145" s="154" t="s">
        <v>21</v>
      </c>
      <c r="B145" s="154" t="s">
        <v>44</v>
      </c>
      <c r="C145" s="154" t="s">
        <v>50</v>
      </c>
      <c r="D145" s="1"/>
      <c r="E145" s="1"/>
      <c r="F145" s="1"/>
      <c r="G145" s="1"/>
    </row>
    <row r="146" spans="1:7" ht="42" x14ac:dyDescent="0.35">
      <c r="A146" s="154" t="s">
        <v>21</v>
      </c>
      <c r="B146" s="154" t="s">
        <v>44</v>
      </c>
      <c r="C146" s="154" t="s">
        <v>50</v>
      </c>
      <c r="D146" s="1"/>
      <c r="E146" s="1"/>
      <c r="F146" s="1"/>
      <c r="G146" s="1"/>
    </row>
    <row r="147" spans="1:7" ht="42" x14ac:dyDescent="0.35">
      <c r="A147" s="154" t="s">
        <v>21</v>
      </c>
      <c r="B147" s="154" t="s">
        <v>44</v>
      </c>
      <c r="C147" s="154" t="s">
        <v>50</v>
      </c>
      <c r="D147" s="1"/>
      <c r="E147" s="1"/>
      <c r="F147" s="1"/>
      <c r="G147" s="1"/>
    </row>
    <row r="148" spans="1:7" ht="42" x14ac:dyDescent="0.35">
      <c r="A148" s="154" t="s">
        <v>21</v>
      </c>
      <c r="B148" s="154" t="s">
        <v>44</v>
      </c>
      <c r="C148" s="154" t="s">
        <v>50</v>
      </c>
      <c r="D148" s="1"/>
      <c r="E148" s="1"/>
      <c r="F148" s="1"/>
      <c r="G148" s="1"/>
    </row>
    <row r="149" spans="1:7" ht="42" x14ac:dyDescent="0.35">
      <c r="A149" s="154" t="s">
        <v>21</v>
      </c>
      <c r="B149" s="154" t="s">
        <v>44</v>
      </c>
      <c r="C149" s="154" t="s">
        <v>50</v>
      </c>
      <c r="D149" s="1"/>
      <c r="E149" s="1"/>
      <c r="F149" s="1"/>
      <c r="G149" s="1"/>
    </row>
    <row r="150" spans="1:7" ht="42" x14ac:dyDescent="0.35">
      <c r="A150" s="154" t="s">
        <v>21</v>
      </c>
      <c r="B150" s="154" t="s">
        <v>44</v>
      </c>
      <c r="C150" s="154" t="s">
        <v>50</v>
      </c>
      <c r="D150" s="1"/>
      <c r="E150" s="1"/>
      <c r="F150" s="1"/>
      <c r="G150" s="1"/>
    </row>
    <row r="151" spans="1:7" ht="42" x14ac:dyDescent="0.35">
      <c r="A151" s="154" t="s">
        <v>21</v>
      </c>
      <c r="B151" s="154" t="s">
        <v>44</v>
      </c>
      <c r="C151" s="154" t="s">
        <v>50</v>
      </c>
      <c r="D151" s="1"/>
      <c r="E151" s="1"/>
      <c r="F151" s="1"/>
      <c r="G151" s="1"/>
    </row>
    <row r="152" spans="1:7" ht="42" x14ac:dyDescent="0.35">
      <c r="A152" s="154" t="s">
        <v>21</v>
      </c>
      <c r="B152" s="154" t="s">
        <v>44</v>
      </c>
      <c r="C152" s="154" t="s">
        <v>50</v>
      </c>
      <c r="D152" s="1"/>
      <c r="E152" s="1"/>
      <c r="F152" s="1"/>
      <c r="G152" s="1"/>
    </row>
    <row r="153" spans="1:7" ht="42" x14ac:dyDescent="0.35">
      <c r="A153" s="154" t="s">
        <v>21</v>
      </c>
      <c r="B153" s="154" t="s">
        <v>44</v>
      </c>
      <c r="C153" s="154" t="s">
        <v>50</v>
      </c>
      <c r="D153" s="1"/>
      <c r="E153" s="1"/>
      <c r="F153" s="1"/>
      <c r="G153" s="1"/>
    </row>
    <row r="154" spans="1:7" ht="42" x14ac:dyDescent="0.35">
      <c r="A154" s="154" t="s">
        <v>21</v>
      </c>
      <c r="B154" s="154" t="s">
        <v>44</v>
      </c>
      <c r="C154" s="154" t="s">
        <v>50</v>
      </c>
      <c r="D154" s="1"/>
      <c r="E154" s="1"/>
      <c r="F154" s="1"/>
      <c r="G154" s="1"/>
    </row>
    <row r="155" spans="1:7" ht="42" x14ac:dyDescent="0.35">
      <c r="A155" s="154" t="s">
        <v>21</v>
      </c>
      <c r="B155" s="154" t="s">
        <v>44</v>
      </c>
      <c r="C155" s="154" t="s">
        <v>50</v>
      </c>
      <c r="D155" s="1"/>
      <c r="E155" s="1"/>
      <c r="F155" s="1"/>
      <c r="G155" s="1"/>
    </row>
    <row r="156" spans="1:7" ht="42" x14ac:dyDescent="0.35">
      <c r="A156" s="154" t="s">
        <v>21</v>
      </c>
      <c r="B156" s="154" t="s">
        <v>44</v>
      </c>
      <c r="C156" s="154" t="s">
        <v>50</v>
      </c>
      <c r="D156" s="1"/>
      <c r="E156" s="1"/>
      <c r="F156" s="1"/>
      <c r="G156" s="1"/>
    </row>
    <row r="157" spans="1:7" ht="42" x14ac:dyDescent="0.35">
      <c r="A157" s="154" t="s">
        <v>21</v>
      </c>
      <c r="B157" s="154" t="s">
        <v>44</v>
      </c>
      <c r="C157" s="154" t="s">
        <v>50</v>
      </c>
      <c r="D157" s="1"/>
      <c r="E157" s="1"/>
      <c r="F157" s="1"/>
      <c r="G157" s="1"/>
    </row>
    <row r="158" spans="1:7" ht="28" x14ac:dyDescent="0.35">
      <c r="A158" s="154" t="s">
        <v>21</v>
      </c>
      <c r="B158" s="154" t="s">
        <v>44</v>
      </c>
      <c r="C158" s="154" t="s">
        <v>51</v>
      </c>
      <c r="D158" s="1"/>
      <c r="E158" s="1"/>
      <c r="F158" s="1"/>
      <c r="G158" s="1"/>
    </row>
    <row r="159" spans="1:7" ht="28" x14ac:dyDescent="0.35">
      <c r="A159" s="154" t="s">
        <v>21</v>
      </c>
      <c r="B159" s="154" t="s">
        <v>44</v>
      </c>
      <c r="C159" s="154" t="s">
        <v>51</v>
      </c>
      <c r="D159" s="1"/>
      <c r="E159" s="1"/>
      <c r="F159" s="1"/>
      <c r="G159" s="1"/>
    </row>
    <row r="160" spans="1:7" ht="28" x14ac:dyDescent="0.35">
      <c r="A160" s="154" t="s">
        <v>21</v>
      </c>
      <c r="B160" s="154" t="s">
        <v>44</v>
      </c>
      <c r="C160" s="154" t="s">
        <v>51</v>
      </c>
      <c r="D160" s="1"/>
      <c r="E160" s="1"/>
      <c r="F160" s="1"/>
      <c r="G160" s="1"/>
    </row>
    <row r="161" spans="1:7" ht="28" x14ac:dyDescent="0.35">
      <c r="A161" s="154" t="s">
        <v>21</v>
      </c>
      <c r="B161" s="154" t="s">
        <v>44</v>
      </c>
      <c r="C161" s="154" t="s">
        <v>51</v>
      </c>
      <c r="D161" s="1"/>
      <c r="E161" s="1"/>
      <c r="F161" s="1"/>
      <c r="G161" s="1"/>
    </row>
    <row r="162" spans="1:7" ht="28" x14ac:dyDescent="0.35">
      <c r="A162" s="154" t="s">
        <v>21</v>
      </c>
      <c r="B162" s="154" t="s">
        <v>44</v>
      </c>
      <c r="C162" s="154" t="s">
        <v>51</v>
      </c>
      <c r="D162" s="1"/>
      <c r="E162" s="1"/>
      <c r="F162" s="1"/>
      <c r="G162" s="1"/>
    </row>
    <row r="163" spans="1:7" ht="28" x14ac:dyDescent="0.35">
      <c r="A163" s="154" t="s">
        <v>21</v>
      </c>
      <c r="B163" s="154" t="s">
        <v>44</v>
      </c>
      <c r="C163" s="154" t="s">
        <v>51</v>
      </c>
      <c r="D163" s="1"/>
      <c r="E163" s="1"/>
      <c r="F163" s="1"/>
      <c r="G163" s="1"/>
    </row>
    <row r="164" spans="1:7" ht="28" x14ac:dyDescent="0.35">
      <c r="A164" s="154" t="s">
        <v>21</v>
      </c>
      <c r="B164" s="154" t="s">
        <v>44</v>
      </c>
      <c r="C164" s="154" t="s">
        <v>51</v>
      </c>
      <c r="D164" s="1"/>
      <c r="E164" s="1"/>
      <c r="F164" s="1"/>
      <c r="G164" s="1"/>
    </row>
    <row r="165" spans="1:7" ht="28" x14ac:dyDescent="0.35">
      <c r="A165" s="154" t="s">
        <v>21</v>
      </c>
      <c r="B165" s="154" t="s">
        <v>44</v>
      </c>
      <c r="C165" s="154" t="s">
        <v>51</v>
      </c>
      <c r="D165" s="1"/>
      <c r="E165" s="1"/>
      <c r="F165" s="1"/>
      <c r="G165" s="1"/>
    </row>
    <row r="166" spans="1:7" ht="28" x14ac:dyDescent="0.35">
      <c r="A166" s="154" t="s">
        <v>21</v>
      </c>
      <c r="B166" s="154" t="s">
        <v>44</v>
      </c>
      <c r="C166" s="154" t="s">
        <v>51</v>
      </c>
      <c r="D166" s="1"/>
      <c r="E166" s="1"/>
      <c r="F166" s="1"/>
      <c r="G166" s="1"/>
    </row>
    <row r="167" spans="1:7" ht="28" x14ac:dyDescent="0.35">
      <c r="A167" s="154" t="s">
        <v>21</v>
      </c>
      <c r="B167" s="154" t="s">
        <v>44</v>
      </c>
      <c r="C167" s="154" t="s">
        <v>51</v>
      </c>
      <c r="D167" s="1"/>
      <c r="E167" s="1"/>
      <c r="F167" s="1"/>
      <c r="G167" s="1"/>
    </row>
    <row r="168" spans="1:7" ht="28" x14ac:dyDescent="0.35">
      <c r="A168" s="154" t="s">
        <v>21</v>
      </c>
      <c r="B168" s="154" t="s">
        <v>44</v>
      </c>
      <c r="C168" s="154" t="s">
        <v>51</v>
      </c>
      <c r="D168" s="1"/>
      <c r="E168" s="1"/>
      <c r="F168" s="1"/>
      <c r="G168" s="1"/>
    </row>
    <row r="169" spans="1:7" ht="28" x14ac:dyDescent="0.35">
      <c r="A169" s="154" t="s">
        <v>21</v>
      </c>
      <c r="B169" s="154" t="s">
        <v>44</v>
      </c>
      <c r="C169" s="154" t="s">
        <v>51</v>
      </c>
      <c r="D169" s="1"/>
      <c r="E169" s="1"/>
      <c r="F169" s="1"/>
      <c r="G169" s="1"/>
    </row>
    <row r="170" spans="1:7" ht="28" x14ac:dyDescent="0.35">
      <c r="A170" s="154" t="s">
        <v>21</v>
      </c>
      <c r="B170" s="154" t="s">
        <v>44</v>
      </c>
      <c r="C170" s="154" t="s">
        <v>51</v>
      </c>
      <c r="D170" s="1"/>
      <c r="E170" s="1"/>
      <c r="F170" s="1"/>
      <c r="G170" s="1"/>
    </row>
    <row r="171" spans="1:7" ht="28" x14ac:dyDescent="0.35">
      <c r="A171" s="154" t="s">
        <v>21</v>
      </c>
      <c r="B171" s="154" t="s">
        <v>44</v>
      </c>
      <c r="C171" s="154" t="s">
        <v>51</v>
      </c>
      <c r="D171" s="1"/>
      <c r="E171" s="1"/>
      <c r="F171" s="1"/>
      <c r="G171" s="1"/>
    </row>
    <row r="172" spans="1:7" ht="28" x14ac:dyDescent="0.35">
      <c r="A172" s="154" t="s">
        <v>21</v>
      </c>
      <c r="B172" s="154" t="s">
        <v>44</v>
      </c>
      <c r="C172" s="154" t="s">
        <v>51</v>
      </c>
      <c r="D172" s="1"/>
      <c r="E172" s="1"/>
      <c r="F172" s="1"/>
      <c r="G172" s="1"/>
    </row>
    <row r="173" spans="1:7" ht="28" x14ac:dyDescent="0.35">
      <c r="A173" s="154" t="s">
        <v>21</v>
      </c>
      <c r="B173" s="154" t="s">
        <v>44</v>
      </c>
      <c r="C173" s="154" t="s">
        <v>51</v>
      </c>
      <c r="D173" s="1"/>
      <c r="E173" s="1"/>
      <c r="F173" s="1"/>
      <c r="G173" s="1"/>
    </row>
    <row r="174" spans="1:7" ht="28" x14ac:dyDescent="0.35">
      <c r="A174" s="154" t="s">
        <v>21</v>
      </c>
      <c r="B174" s="154" t="s">
        <v>44</v>
      </c>
      <c r="C174" s="154" t="s">
        <v>51</v>
      </c>
      <c r="D174" s="1"/>
      <c r="E174" s="1"/>
      <c r="F174" s="1"/>
      <c r="G174" s="1"/>
    </row>
    <row r="175" spans="1:7" ht="28" x14ac:dyDescent="0.35">
      <c r="A175" s="154" t="s">
        <v>21</v>
      </c>
      <c r="B175" s="154" t="s">
        <v>44</v>
      </c>
      <c r="C175" s="154" t="s">
        <v>51</v>
      </c>
      <c r="D175" s="1"/>
      <c r="E175" s="1"/>
      <c r="F175" s="1"/>
      <c r="G175" s="1"/>
    </row>
    <row r="176" spans="1:7" ht="28" x14ac:dyDescent="0.35">
      <c r="A176" s="154" t="s">
        <v>21</v>
      </c>
      <c r="B176" s="154" t="s">
        <v>44</v>
      </c>
      <c r="C176" s="154" t="s">
        <v>51</v>
      </c>
      <c r="D176" s="1"/>
      <c r="E176" s="1"/>
      <c r="F176" s="1"/>
      <c r="G176" s="1"/>
    </row>
    <row r="177" spans="1:7" ht="28" x14ac:dyDescent="0.35">
      <c r="A177" s="154" t="s">
        <v>21</v>
      </c>
      <c r="B177" s="154" t="s">
        <v>44</v>
      </c>
      <c r="C177" s="154" t="s">
        <v>51</v>
      </c>
      <c r="D177" s="1"/>
      <c r="E177" s="1"/>
      <c r="F177" s="1"/>
      <c r="G177" s="1"/>
    </row>
    <row r="178" spans="1:7" ht="70" x14ac:dyDescent="0.35">
      <c r="A178" s="154" t="s">
        <v>21</v>
      </c>
      <c r="B178" s="154" t="s">
        <v>54</v>
      </c>
      <c r="C178" s="154" t="s">
        <v>56</v>
      </c>
      <c r="D178" s="1"/>
      <c r="E178" s="1"/>
      <c r="F178" s="1"/>
      <c r="G178" s="1"/>
    </row>
    <row r="179" spans="1:7" ht="70" x14ac:dyDescent="0.35">
      <c r="A179" s="154" t="s">
        <v>21</v>
      </c>
      <c r="B179" s="154" t="s">
        <v>54</v>
      </c>
      <c r="C179" s="154" t="s">
        <v>56</v>
      </c>
      <c r="D179" s="1"/>
      <c r="E179" s="1"/>
      <c r="F179" s="1"/>
      <c r="G179" s="1"/>
    </row>
    <row r="180" spans="1:7" ht="70" x14ac:dyDescent="0.35">
      <c r="A180" s="154" t="s">
        <v>21</v>
      </c>
      <c r="B180" s="154" t="s">
        <v>54</v>
      </c>
      <c r="C180" s="154" t="s">
        <v>56</v>
      </c>
      <c r="D180" s="1"/>
      <c r="E180" s="1"/>
      <c r="F180" s="1"/>
      <c r="G180" s="1"/>
    </row>
    <row r="181" spans="1:7" ht="70" x14ac:dyDescent="0.35">
      <c r="A181" s="154" t="s">
        <v>21</v>
      </c>
      <c r="B181" s="154" t="s">
        <v>54</v>
      </c>
      <c r="C181" s="154" t="s">
        <v>56</v>
      </c>
      <c r="D181" s="1"/>
      <c r="E181" s="1"/>
      <c r="F181" s="1"/>
      <c r="G181" s="1"/>
    </row>
    <row r="182" spans="1:7" ht="70" x14ac:dyDescent="0.35">
      <c r="A182" s="154" t="s">
        <v>21</v>
      </c>
      <c r="B182" s="154" t="s">
        <v>54</v>
      </c>
      <c r="C182" s="154" t="s">
        <v>56</v>
      </c>
      <c r="D182" s="1"/>
      <c r="E182" s="1"/>
      <c r="F182" s="1"/>
      <c r="G182" s="1"/>
    </row>
    <row r="183" spans="1:7" ht="70" x14ac:dyDescent="0.35">
      <c r="A183" s="154" t="s">
        <v>21</v>
      </c>
      <c r="B183" s="154" t="s">
        <v>54</v>
      </c>
      <c r="C183" s="154" t="s">
        <v>56</v>
      </c>
      <c r="D183" s="1"/>
      <c r="E183" s="1"/>
      <c r="F183" s="1"/>
      <c r="G183" s="1"/>
    </row>
    <row r="184" spans="1:7" ht="70" x14ac:dyDescent="0.35">
      <c r="A184" s="154" t="s">
        <v>21</v>
      </c>
      <c r="B184" s="154" t="s">
        <v>54</v>
      </c>
      <c r="C184" s="154" t="s">
        <v>56</v>
      </c>
      <c r="D184" s="1"/>
      <c r="E184" s="1"/>
      <c r="F184" s="1"/>
      <c r="G184" s="1"/>
    </row>
    <row r="185" spans="1:7" ht="70" x14ac:dyDescent="0.35">
      <c r="A185" s="154" t="s">
        <v>21</v>
      </c>
      <c r="B185" s="154" t="s">
        <v>54</v>
      </c>
      <c r="C185" s="154" t="s">
        <v>56</v>
      </c>
      <c r="D185" s="1"/>
      <c r="E185" s="1"/>
      <c r="F185" s="1"/>
      <c r="G185" s="1"/>
    </row>
    <row r="186" spans="1:7" ht="70" x14ac:dyDescent="0.35">
      <c r="A186" s="154" t="s">
        <v>21</v>
      </c>
      <c r="B186" s="154" t="s">
        <v>54</v>
      </c>
      <c r="C186" s="154" t="s">
        <v>56</v>
      </c>
      <c r="D186" s="1"/>
      <c r="E186" s="1"/>
      <c r="F186" s="1"/>
      <c r="G186" s="1"/>
    </row>
    <row r="187" spans="1:7" ht="70" x14ac:dyDescent="0.35">
      <c r="A187" s="154" t="s">
        <v>21</v>
      </c>
      <c r="B187" s="154" t="s">
        <v>54</v>
      </c>
      <c r="C187" s="154" t="s">
        <v>56</v>
      </c>
      <c r="D187" s="1"/>
      <c r="E187" s="1"/>
      <c r="F187" s="1"/>
      <c r="G187" s="1"/>
    </row>
    <row r="188" spans="1:7" ht="70" x14ac:dyDescent="0.35">
      <c r="A188" s="154" t="s">
        <v>21</v>
      </c>
      <c r="B188" s="154" t="s">
        <v>54</v>
      </c>
      <c r="C188" s="154" t="s">
        <v>56</v>
      </c>
      <c r="D188" s="1"/>
      <c r="E188" s="1"/>
      <c r="F188" s="1"/>
      <c r="G188" s="1"/>
    </row>
    <row r="189" spans="1:7" ht="70" x14ac:dyDescent="0.35">
      <c r="A189" s="154" t="s">
        <v>21</v>
      </c>
      <c r="B189" s="154" t="s">
        <v>54</v>
      </c>
      <c r="C189" s="154" t="s">
        <v>56</v>
      </c>
      <c r="D189" s="1"/>
      <c r="E189" s="1"/>
      <c r="F189" s="1"/>
      <c r="G189" s="1"/>
    </row>
    <row r="190" spans="1:7" ht="70" x14ac:dyDescent="0.35">
      <c r="A190" s="154" t="s">
        <v>21</v>
      </c>
      <c r="B190" s="154" t="s">
        <v>54</v>
      </c>
      <c r="C190" s="154" t="s">
        <v>56</v>
      </c>
      <c r="D190" s="1"/>
      <c r="E190" s="1"/>
      <c r="F190" s="1"/>
      <c r="G190" s="1"/>
    </row>
    <row r="191" spans="1:7" ht="70" x14ac:dyDescent="0.35">
      <c r="A191" s="154" t="s">
        <v>21</v>
      </c>
      <c r="B191" s="154" t="s">
        <v>54</v>
      </c>
      <c r="C191" s="154" t="s">
        <v>56</v>
      </c>
      <c r="D191" s="1"/>
      <c r="E191" s="1"/>
      <c r="F191" s="1"/>
      <c r="G191" s="1"/>
    </row>
    <row r="192" spans="1:7" ht="70" x14ac:dyDescent="0.35">
      <c r="A192" s="154" t="s">
        <v>21</v>
      </c>
      <c r="B192" s="154" t="s">
        <v>54</v>
      </c>
      <c r="C192" s="154" t="s">
        <v>56</v>
      </c>
      <c r="D192" s="1"/>
      <c r="E192" s="1"/>
      <c r="F192" s="1"/>
      <c r="G192" s="1"/>
    </row>
    <row r="193" spans="1:7" ht="70" x14ac:dyDescent="0.35">
      <c r="A193" s="154" t="s">
        <v>21</v>
      </c>
      <c r="B193" s="154" t="s">
        <v>54</v>
      </c>
      <c r="C193" s="154" t="s">
        <v>56</v>
      </c>
      <c r="D193" s="1"/>
      <c r="E193" s="1"/>
      <c r="F193" s="1"/>
      <c r="G193" s="1"/>
    </row>
    <row r="194" spans="1:7" ht="70" x14ac:dyDescent="0.35">
      <c r="A194" s="154" t="s">
        <v>21</v>
      </c>
      <c r="B194" s="154" t="s">
        <v>54</v>
      </c>
      <c r="C194" s="154" t="s">
        <v>56</v>
      </c>
      <c r="D194" s="1"/>
      <c r="E194" s="1"/>
      <c r="F194" s="1"/>
      <c r="G194" s="1"/>
    </row>
    <row r="195" spans="1:7" ht="70" x14ac:dyDescent="0.35">
      <c r="A195" s="154" t="s">
        <v>21</v>
      </c>
      <c r="B195" s="154" t="s">
        <v>54</v>
      </c>
      <c r="C195" s="154" t="s">
        <v>56</v>
      </c>
      <c r="D195" s="1"/>
      <c r="E195" s="1"/>
      <c r="F195" s="1"/>
      <c r="G195" s="1"/>
    </row>
    <row r="196" spans="1:7" ht="70" x14ac:dyDescent="0.35">
      <c r="A196" s="154" t="s">
        <v>21</v>
      </c>
      <c r="B196" s="154" t="s">
        <v>54</v>
      </c>
      <c r="C196" s="154" t="s">
        <v>56</v>
      </c>
      <c r="D196" s="1"/>
      <c r="E196" s="1"/>
      <c r="F196" s="1"/>
      <c r="G196" s="1"/>
    </row>
    <row r="197" spans="1:7" ht="70" x14ac:dyDescent="0.35">
      <c r="A197" s="154" t="s">
        <v>21</v>
      </c>
      <c r="B197" s="154" t="s">
        <v>54</v>
      </c>
      <c r="C197" s="154" t="s">
        <v>56</v>
      </c>
      <c r="D197" s="1"/>
      <c r="E197" s="1"/>
      <c r="F197" s="1"/>
      <c r="G197" s="1"/>
    </row>
    <row r="198" spans="1:7" ht="70" x14ac:dyDescent="0.35">
      <c r="A198" s="154" t="s">
        <v>21</v>
      </c>
      <c r="B198" s="154" t="s">
        <v>54</v>
      </c>
      <c r="C198" s="154" t="s">
        <v>56</v>
      </c>
      <c r="D198" s="1"/>
      <c r="E198" s="1"/>
      <c r="F198" s="1"/>
      <c r="G198" s="1"/>
    </row>
    <row r="199" spans="1:7" ht="70" x14ac:dyDescent="0.35">
      <c r="A199" s="154" t="s">
        <v>21</v>
      </c>
      <c r="B199" s="154" t="s">
        <v>54</v>
      </c>
      <c r="C199" s="154" t="s">
        <v>56</v>
      </c>
      <c r="D199" s="1"/>
      <c r="E199" s="1"/>
      <c r="F199" s="1"/>
      <c r="G199" s="1"/>
    </row>
    <row r="200" spans="1:7" ht="70" x14ac:dyDescent="0.35">
      <c r="A200" s="154" t="s">
        <v>21</v>
      </c>
      <c r="B200" s="154" t="s">
        <v>54</v>
      </c>
      <c r="C200" s="154" t="s">
        <v>56</v>
      </c>
      <c r="D200" s="1"/>
      <c r="E200" s="1"/>
      <c r="F200" s="1"/>
      <c r="G200" s="1"/>
    </row>
    <row r="201" spans="1:7" ht="70" x14ac:dyDescent="0.35">
      <c r="A201" s="154" t="s">
        <v>21</v>
      </c>
      <c r="B201" s="154" t="s">
        <v>54</v>
      </c>
      <c r="C201" s="154" t="s">
        <v>56</v>
      </c>
      <c r="D201" s="1"/>
      <c r="E201" s="1"/>
      <c r="F201" s="1"/>
      <c r="G201" s="1"/>
    </row>
    <row r="202" spans="1:7" ht="70" x14ac:dyDescent="0.35">
      <c r="A202" s="154" t="s">
        <v>21</v>
      </c>
      <c r="B202" s="154" t="s">
        <v>54</v>
      </c>
      <c r="C202" s="154" t="s">
        <v>56</v>
      </c>
      <c r="D202" s="1"/>
      <c r="E202" s="1"/>
      <c r="F202" s="1"/>
      <c r="G202" s="1"/>
    </row>
    <row r="203" spans="1:7" ht="70" x14ac:dyDescent="0.35">
      <c r="A203" s="154" t="s">
        <v>21</v>
      </c>
      <c r="B203" s="154" t="s">
        <v>54</v>
      </c>
      <c r="C203" s="154" t="s">
        <v>56</v>
      </c>
      <c r="D203" s="1"/>
      <c r="E203" s="1"/>
      <c r="F203" s="1"/>
      <c r="G203" s="1"/>
    </row>
    <row r="204" spans="1:7" ht="70" x14ac:dyDescent="0.35">
      <c r="A204" s="154" t="s">
        <v>21</v>
      </c>
      <c r="B204" s="154" t="s">
        <v>54</v>
      </c>
      <c r="C204" s="154" t="s">
        <v>56</v>
      </c>
      <c r="D204" s="1"/>
      <c r="E204" s="1"/>
      <c r="F204" s="1"/>
      <c r="G204" s="1"/>
    </row>
    <row r="205" spans="1:7" ht="70" x14ac:dyDescent="0.35">
      <c r="A205" s="154" t="s">
        <v>21</v>
      </c>
      <c r="B205" s="154" t="s">
        <v>54</v>
      </c>
      <c r="C205" s="154" t="s">
        <v>56</v>
      </c>
      <c r="D205" s="1"/>
      <c r="E205" s="1"/>
      <c r="F205" s="1"/>
      <c r="G205" s="1"/>
    </row>
    <row r="206" spans="1:7" ht="70" x14ac:dyDescent="0.35">
      <c r="A206" s="154" t="s">
        <v>21</v>
      </c>
      <c r="B206" s="154" t="s">
        <v>54</v>
      </c>
      <c r="C206" s="154" t="s">
        <v>56</v>
      </c>
      <c r="D206" s="1"/>
      <c r="E206" s="1"/>
      <c r="F206" s="1"/>
      <c r="G206" s="1"/>
    </row>
    <row r="207" spans="1:7" ht="70" x14ac:dyDescent="0.35">
      <c r="A207" s="154" t="s">
        <v>21</v>
      </c>
      <c r="B207" s="154" t="s">
        <v>54</v>
      </c>
      <c r="C207" s="154" t="s">
        <v>56</v>
      </c>
      <c r="D207" s="1"/>
      <c r="E207" s="1"/>
      <c r="F207" s="1"/>
      <c r="G207" s="1"/>
    </row>
    <row r="208" spans="1:7" ht="84" x14ac:dyDescent="0.35">
      <c r="A208" s="154" t="s">
        <v>21</v>
      </c>
      <c r="B208" s="154" t="s">
        <v>54</v>
      </c>
      <c r="C208" s="154" t="s">
        <v>57</v>
      </c>
      <c r="D208" s="1"/>
      <c r="E208" s="1"/>
      <c r="F208" s="1"/>
      <c r="G208" s="1"/>
    </row>
    <row r="209" spans="1:7" ht="84" x14ac:dyDescent="0.35">
      <c r="A209" s="154" t="s">
        <v>21</v>
      </c>
      <c r="B209" s="154" t="s">
        <v>54</v>
      </c>
      <c r="C209" s="154" t="s">
        <v>57</v>
      </c>
      <c r="D209" s="1"/>
      <c r="E209" s="1"/>
      <c r="F209" s="1"/>
      <c r="G209" s="1"/>
    </row>
    <row r="210" spans="1:7" ht="84" x14ac:dyDescent="0.35">
      <c r="A210" s="154" t="s">
        <v>21</v>
      </c>
      <c r="B210" s="154" t="s">
        <v>54</v>
      </c>
      <c r="C210" s="154" t="s">
        <v>57</v>
      </c>
      <c r="D210" s="1"/>
      <c r="E210" s="1"/>
      <c r="F210" s="1"/>
      <c r="G210" s="1"/>
    </row>
    <row r="211" spans="1:7" ht="42" x14ac:dyDescent="0.35">
      <c r="A211" s="154" t="s">
        <v>21</v>
      </c>
      <c r="B211" s="154" t="s">
        <v>54</v>
      </c>
      <c r="C211" s="154" t="s">
        <v>59</v>
      </c>
      <c r="D211" s="1"/>
      <c r="E211" s="1"/>
      <c r="F211" s="1"/>
      <c r="G211" s="1"/>
    </row>
    <row r="212" spans="1:7" ht="42" x14ac:dyDescent="0.35">
      <c r="A212" s="154" t="s">
        <v>21</v>
      </c>
      <c r="B212" s="154" t="s">
        <v>54</v>
      </c>
      <c r="C212" s="154" t="s">
        <v>59</v>
      </c>
      <c r="D212" s="1"/>
      <c r="E212" s="1"/>
      <c r="F212" s="1"/>
      <c r="G212" s="1"/>
    </row>
    <row r="213" spans="1:7" ht="42" x14ac:dyDescent="0.35">
      <c r="A213" s="154" t="s">
        <v>21</v>
      </c>
      <c r="B213" s="154" t="s">
        <v>54</v>
      </c>
      <c r="C213" s="154" t="s">
        <v>59</v>
      </c>
      <c r="D213" s="1"/>
      <c r="E213" s="1"/>
      <c r="F213" s="1"/>
      <c r="G213" s="1"/>
    </row>
    <row r="214" spans="1:7" ht="42" x14ac:dyDescent="0.35">
      <c r="A214" s="154" t="s">
        <v>21</v>
      </c>
      <c r="B214" s="154" t="s">
        <v>54</v>
      </c>
      <c r="C214" s="154" t="s">
        <v>59</v>
      </c>
      <c r="D214" s="1"/>
      <c r="E214" s="1"/>
      <c r="F214" s="1"/>
      <c r="G214" s="1"/>
    </row>
    <row r="215" spans="1:7" ht="42" x14ac:dyDescent="0.35">
      <c r="A215" s="154" t="s">
        <v>21</v>
      </c>
      <c r="B215" s="154" t="s">
        <v>54</v>
      </c>
      <c r="C215" s="154" t="s">
        <v>59</v>
      </c>
      <c r="D215" s="1"/>
      <c r="E215" s="1"/>
      <c r="F215" s="1"/>
      <c r="G215" s="1"/>
    </row>
    <row r="216" spans="1:7" ht="42" x14ac:dyDescent="0.35">
      <c r="A216" s="154" t="s">
        <v>21</v>
      </c>
      <c r="B216" s="154" t="s">
        <v>54</v>
      </c>
      <c r="C216" s="154" t="s">
        <v>59</v>
      </c>
      <c r="D216" s="1"/>
      <c r="E216" s="1"/>
      <c r="F216" s="1"/>
      <c r="G216" s="1"/>
    </row>
    <row r="217" spans="1:7" ht="42" x14ac:dyDescent="0.35">
      <c r="A217" s="154" t="s">
        <v>21</v>
      </c>
      <c r="B217" s="154" t="s">
        <v>54</v>
      </c>
      <c r="C217" s="154" t="s">
        <v>59</v>
      </c>
      <c r="D217" s="1"/>
      <c r="E217" s="1"/>
      <c r="F217" s="1"/>
      <c r="G217" s="1"/>
    </row>
    <row r="218" spans="1:7" ht="42" x14ac:dyDescent="0.35">
      <c r="A218" s="154" t="s">
        <v>21</v>
      </c>
      <c r="B218" s="154" t="s">
        <v>54</v>
      </c>
      <c r="C218" s="154" t="s">
        <v>59</v>
      </c>
      <c r="D218" s="1"/>
      <c r="E218" s="1"/>
      <c r="F218" s="1"/>
      <c r="G218" s="1"/>
    </row>
    <row r="219" spans="1:7" ht="42" x14ac:dyDescent="0.35">
      <c r="A219" s="154" t="s">
        <v>21</v>
      </c>
      <c r="B219" s="154" t="s">
        <v>54</v>
      </c>
      <c r="C219" s="154" t="s">
        <v>59</v>
      </c>
      <c r="D219" s="1"/>
      <c r="E219" s="1"/>
      <c r="F219" s="1"/>
      <c r="G219" s="1"/>
    </row>
    <row r="220" spans="1:7" ht="42" x14ac:dyDescent="0.35">
      <c r="A220" s="154" t="s">
        <v>21</v>
      </c>
      <c r="B220" s="154" t="s">
        <v>54</v>
      </c>
      <c r="C220" s="154" t="s">
        <v>59</v>
      </c>
      <c r="D220" s="1"/>
      <c r="E220" s="1"/>
      <c r="F220" s="1"/>
      <c r="G220" s="1"/>
    </row>
    <row r="221" spans="1:7" ht="42" x14ac:dyDescent="0.35">
      <c r="A221" s="154" t="s">
        <v>21</v>
      </c>
      <c r="B221" s="154" t="s">
        <v>54</v>
      </c>
      <c r="C221" s="154" t="s">
        <v>59</v>
      </c>
      <c r="D221" s="1"/>
      <c r="E221" s="1"/>
      <c r="F221" s="1"/>
      <c r="G221" s="1"/>
    </row>
    <row r="222" spans="1:7" ht="42" x14ac:dyDescent="0.35">
      <c r="A222" s="154" t="s">
        <v>21</v>
      </c>
      <c r="B222" s="154" t="s">
        <v>54</v>
      </c>
      <c r="C222" s="154" t="s">
        <v>59</v>
      </c>
      <c r="D222" s="1"/>
      <c r="E222" s="1"/>
      <c r="F222" s="1"/>
      <c r="G222" s="1"/>
    </row>
    <row r="223" spans="1:7" ht="42" x14ac:dyDescent="0.35">
      <c r="A223" s="154" t="s">
        <v>21</v>
      </c>
      <c r="B223" s="154" t="s">
        <v>54</v>
      </c>
      <c r="C223" s="154" t="s">
        <v>59</v>
      </c>
      <c r="D223" s="1"/>
      <c r="E223" s="1"/>
      <c r="F223" s="1"/>
      <c r="G223" s="1"/>
    </row>
    <row r="224" spans="1:7" ht="42" x14ac:dyDescent="0.35">
      <c r="A224" s="154" t="s">
        <v>21</v>
      </c>
      <c r="B224" s="154" t="s">
        <v>54</v>
      </c>
      <c r="C224" s="154" t="s">
        <v>59</v>
      </c>
      <c r="D224" s="1"/>
      <c r="E224" s="1"/>
      <c r="F224" s="1"/>
      <c r="G224" s="1"/>
    </row>
    <row r="225" spans="1:7" ht="42" x14ac:dyDescent="0.35">
      <c r="A225" s="154" t="s">
        <v>21</v>
      </c>
      <c r="B225" s="154" t="s">
        <v>54</v>
      </c>
      <c r="C225" s="154" t="s">
        <v>59</v>
      </c>
      <c r="D225" s="1"/>
      <c r="E225" s="1"/>
      <c r="F225" s="1"/>
      <c r="G225" s="1"/>
    </row>
    <row r="226" spans="1:7" ht="42" x14ac:dyDescent="0.35">
      <c r="A226" s="154" t="s">
        <v>21</v>
      </c>
      <c r="B226" s="154" t="s">
        <v>54</v>
      </c>
      <c r="C226" s="154" t="s">
        <v>59</v>
      </c>
      <c r="D226" s="1"/>
      <c r="E226" s="1"/>
      <c r="F226" s="1"/>
      <c r="G226" s="1"/>
    </row>
    <row r="227" spans="1:7" ht="42" x14ac:dyDescent="0.35">
      <c r="A227" s="154" t="s">
        <v>21</v>
      </c>
      <c r="B227" s="154" t="s">
        <v>54</v>
      </c>
      <c r="C227" s="154" t="s">
        <v>59</v>
      </c>
      <c r="D227" s="1"/>
      <c r="E227" s="1"/>
      <c r="F227" s="1"/>
      <c r="G227" s="1"/>
    </row>
    <row r="228" spans="1:7" ht="42" x14ac:dyDescent="0.35">
      <c r="A228" s="154" t="s">
        <v>21</v>
      </c>
      <c r="B228" s="154" t="s">
        <v>54</v>
      </c>
      <c r="C228" s="154" t="s">
        <v>59</v>
      </c>
      <c r="D228" s="1"/>
      <c r="E228" s="1"/>
      <c r="F228" s="1"/>
      <c r="G228" s="1"/>
    </row>
    <row r="229" spans="1:7" ht="42" x14ac:dyDescent="0.35">
      <c r="A229" s="154" t="s">
        <v>21</v>
      </c>
      <c r="B229" s="154" t="s">
        <v>54</v>
      </c>
      <c r="C229" s="154" t="s">
        <v>59</v>
      </c>
      <c r="D229" s="1"/>
      <c r="E229" s="1"/>
      <c r="F229" s="1"/>
      <c r="G229" s="1"/>
    </row>
    <row r="230" spans="1:7" ht="42" x14ac:dyDescent="0.35">
      <c r="A230" s="154" t="s">
        <v>21</v>
      </c>
      <c r="B230" s="154" t="s">
        <v>54</v>
      </c>
      <c r="C230" s="154" t="s">
        <v>59</v>
      </c>
      <c r="D230" s="1"/>
      <c r="E230" s="1"/>
      <c r="F230" s="1"/>
      <c r="G230" s="1"/>
    </row>
    <row r="231" spans="1:7" ht="42" x14ac:dyDescent="0.35">
      <c r="A231" s="154" t="s">
        <v>21</v>
      </c>
      <c r="B231" s="154" t="s">
        <v>54</v>
      </c>
      <c r="C231" s="154" t="s">
        <v>59</v>
      </c>
      <c r="D231" s="1"/>
      <c r="E231" s="1"/>
      <c r="F231" s="1"/>
      <c r="G231" s="1"/>
    </row>
    <row r="232" spans="1:7" ht="42" x14ac:dyDescent="0.35">
      <c r="A232" s="154" t="s">
        <v>21</v>
      </c>
      <c r="B232" s="154" t="s">
        <v>54</v>
      </c>
      <c r="C232" s="154" t="s">
        <v>59</v>
      </c>
      <c r="D232" s="1"/>
      <c r="E232" s="1"/>
      <c r="F232" s="1"/>
      <c r="G232" s="1"/>
    </row>
    <row r="233" spans="1:7" ht="42" x14ac:dyDescent="0.35">
      <c r="A233" s="154" t="s">
        <v>21</v>
      </c>
      <c r="B233" s="154" t="s">
        <v>54</v>
      </c>
      <c r="C233" s="154" t="s">
        <v>59</v>
      </c>
      <c r="D233" s="1"/>
      <c r="E233" s="1"/>
      <c r="F233" s="1"/>
      <c r="G233" s="1"/>
    </row>
    <row r="234" spans="1:7" ht="42" x14ac:dyDescent="0.35">
      <c r="A234" s="154" t="s">
        <v>21</v>
      </c>
      <c r="B234" s="154" t="s">
        <v>54</v>
      </c>
      <c r="C234" s="154" t="s">
        <v>59</v>
      </c>
      <c r="D234" s="1"/>
      <c r="E234" s="1"/>
      <c r="F234" s="1"/>
      <c r="G234" s="1"/>
    </row>
    <row r="235" spans="1:7" ht="42" x14ac:dyDescent="0.35">
      <c r="A235" s="154" t="s">
        <v>21</v>
      </c>
      <c r="B235" s="154" t="s">
        <v>54</v>
      </c>
      <c r="C235" s="154" t="s">
        <v>59</v>
      </c>
      <c r="D235" s="1"/>
      <c r="E235" s="1"/>
      <c r="F235" s="1"/>
      <c r="G235" s="1"/>
    </row>
    <row r="236" spans="1:7" ht="70" x14ac:dyDescent="0.35">
      <c r="A236" s="154" t="s">
        <v>21</v>
      </c>
      <c r="B236" s="154" t="s">
        <v>54</v>
      </c>
      <c r="C236" s="154" t="s">
        <v>61</v>
      </c>
      <c r="D236" s="1"/>
      <c r="E236" s="1"/>
      <c r="F236" s="1"/>
      <c r="G236" s="1"/>
    </row>
    <row r="237" spans="1:7" ht="70" x14ac:dyDescent="0.35">
      <c r="A237" s="154" t="s">
        <v>21</v>
      </c>
      <c r="B237" s="154" t="s">
        <v>54</v>
      </c>
      <c r="C237" s="154" t="s">
        <v>61</v>
      </c>
      <c r="D237" s="1"/>
      <c r="E237" s="1"/>
      <c r="F237" s="1"/>
      <c r="G237" s="1"/>
    </row>
    <row r="238" spans="1:7" ht="70" x14ac:dyDescent="0.35">
      <c r="A238" s="154" t="s">
        <v>21</v>
      </c>
      <c r="B238" s="154" t="s">
        <v>54</v>
      </c>
      <c r="C238" s="154" t="s">
        <v>61</v>
      </c>
      <c r="D238" s="1"/>
      <c r="E238" s="1"/>
      <c r="F238" s="1"/>
      <c r="G238" s="1"/>
    </row>
    <row r="239" spans="1:7" ht="70" x14ac:dyDescent="0.35">
      <c r="A239" s="154" t="s">
        <v>21</v>
      </c>
      <c r="B239" s="154" t="s">
        <v>54</v>
      </c>
      <c r="C239" s="154" t="s">
        <v>61</v>
      </c>
      <c r="D239" s="1"/>
      <c r="E239" s="1"/>
      <c r="F239" s="1"/>
      <c r="G239" s="1"/>
    </row>
    <row r="240" spans="1:7" ht="70" x14ac:dyDescent="0.35">
      <c r="A240" s="154" t="s">
        <v>21</v>
      </c>
      <c r="B240" s="154" t="s">
        <v>54</v>
      </c>
      <c r="C240" s="154" t="s">
        <v>61</v>
      </c>
      <c r="D240" s="1"/>
      <c r="E240" s="1"/>
      <c r="F240" s="1"/>
      <c r="G240" s="1"/>
    </row>
    <row r="241" spans="1:7" ht="70" x14ac:dyDescent="0.35">
      <c r="A241" s="154" t="s">
        <v>21</v>
      </c>
      <c r="B241" s="154" t="s">
        <v>54</v>
      </c>
      <c r="C241" s="154" t="s">
        <v>61</v>
      </c>
      <c r="D241" s="1"/>
      <c r="E241" s="1"/>
      <c r="F241" s="1"/>
      <c r="G241" s="1"/>
    </row>
    <row r="242" spans="1:7" ht="70" x14ac:dyDescent="0.35">
      <c r="A242" s="154" t="s">
        <v>21</v>
      </c>
      <c r="B242" s="154" t="s">
        <v>54</v>
      </c>
      <c r="C242" s="154" t="s">
        <v>61</v>
      </c>
      <c r="D242" s="1"/>
      <c r="E242" s="1"/>
      <c r="F242" s="1"/>
      <c r="G242" s="1"/>
    </row>
    <row r="243" spans="1:7" ht="70" x14ac:dyDescent="0.35">
      <c r="A243" s="154" t="s">
        <v>21</v>
      </c>
      <c r="B243" s="154" t="s">
        <v>54</v>
      </c>
      <c r="C243" s="154" t="s">
        <v>61</v>
      </c>
      <c r="D243" s="1"/>
      <c r="E243" s="1"/>
      <c r="F243" s="1"/>
      <c r="G243" s="1"/>
    </row>
    <row r="244" spans="1:7" ht="70" x14ac:dyDescent="0.35">
      <c r="A244" s="154" t="s">
        <v>21</v>
      </c>
      <c r="B244" s="154" t="s">
        <v>54</v>
      </c>
      <c r="C244" s="154" t="s">
        <v>61</v>
      </c>
      <c r="D244" s="1"/>
      <c r="E244" s="1"/>
      <c r="F244" s="1"/>
      <c r="G244" s="1"/>
    </row>
    <row r="245" spans="1:7" ht="70" x14ac:dyDescent="0.35">
      <c r="A245" s="154" t="s">
        <v>21</v>
      </c>
      <c r="B245" s="154" t="s">
        <v>54</v>
      </c>
      <c r="C245" s="154" t="s">
        <v>61</v>
      </c>
      <c r="D245" s="1"/>
      <c r="E245" s="1"/>
      <c r="F245" s="1"/>
      <c r="G245" s="1"/>
    </row>
    <row r="246" spans="1:7" ht="70" x14ac:dyDescent="0.35">
      <c r="A246" s="154" t="s">
        <v>21</v>
      </c>
      <c r="B246" s="154" t="s">
        <v>54</v>
      </c>
      <c r="C246" s="154" t="s">
        <v>61</v>
      </c>
      <c r="D246" s="1"/>
      <c r="E246" s="1"/>
      <c r="F246" s="1"/>
      <c r="G246" s="1"/>
    </row>
    <row r="247" spans="1:7" ht="70" x14ac:dyDescent="0.35">
      <c r="A247" s="154" t="s">
        <v>21</v>
      </c>
      <c r="B247" s="154" t="s">
        <v>54</v>
      </c>
      <c r="C247" s="154" t="s">
        <v>61</v>
      </c>
      <c r="D247" s="1"/>
      <c r="E247" s="1"/>
      <c r="F247" s="1"/>
      <c r="G247" s="1"/>
    </row>
    <row r="248" spans="1:7" ht="70" x14ac:dyDescent="0.35">
      <c r="A248" s="154" t="s">
        <v>21</v>
      </c>
      <c r="B248" s="154" t="s">
        <v>54</v>
      </c>
      <c r="C248" s="154" t="s">
        <v>61</v>
      </c>
      <c r="D248" s="1"/>
      <c r="E248" s="1"/>
      <c r="F248" s="1"/>
      <c r="G248" s="1"/>
    </row>
    <row r="249" spans="1:7" ht="70" x14ac:dyDescent="0.35">
      <c r="A249" s="154" t="s">
        <v>21</v>
      </c>
      <c r="B249" s="154" t="s">
        <v>54</v>
      </c>
      <c r="C249" s="154" t="s">
        <v>61</v>
      </c>
      <c r="D249" s="1"/>
      <c r="E249" s="1"/>
      <c r="F249" s="1"/>
      <c r="G249" s="1"/>
    </row>
    <row r="250" spans="1:7" ht="70" x14ac:dyDescent="0.35">
      <c r="A250" s="154" t="s">
        <v>21</v>
      </c>
      <c r="B250" s="154" t="s">
        <v>54</v>
      </c>
      <c r="C250" s="154" t="s">
        <v>61</v>
      </c>
      <c r="D250" s="1"/>
      <c r="E250" s="1"/>
      <c r="F250" s="1"/>
      <c r="G250" s="1"/>
    </row>
    <row r="251" spans="1:7" ht="84" x14ac:dyDescent="0.35">
      <c r="A251" s="154" t="s">
        <v>21</v>
      </c>
      <c r="B251" s="154" t="s">
        <v>54</v>
      </c>
      <c r="C251" s="154" t="s">
        <v>63</v>
      </c>
      <c r="D251" s="1"/>
      <c r="E251" s="1"/>
      <c r="F251" s="1"/>
      <c r="G251" s="1"/>
    </row>
    <row r="252" spans="1:7" ht="84" x14ac:dyDescent="0.35">
      <c r="A252" s="154" t="s">
        <v>21</v>
      </c>
      <c r="B252" s="154" t="s">
        <v>54</v>
      </c>
      <c r="C252" s="154" t="s">
        <v>63</v>
      </c>
      <c r="D252" s="1"/>
      <c r="E252" s="1"/>
      <c r="F252" s="1"/>
      <c r="G252" s="1"/>
    </row>
    <row r="253" spans="1:7" ht="84" x14ac:dyDescent="0.35">
      <c r="A253" s="154" t="s">
        <v>21</v>
      </c>
      <c r="B253" s="154" t="s">
        <v>54</v>
      </c>
      <c r="C253" s="154" t="s">
        <v>63</v>
      </c>
      <c r="D253" s="1"/>
      <c r="E253" s="1"/>
      <c r="F253" s="1"/>
      <c r="G253" s="1"/>
    </row>
    <row r="254" spans="1:7" ht="84" x14ac:dyDescent="0.35">
      <c r="A254" s="154" t="s">
        <v>21</v>
      </c>
      <c r="B254" s="154" t="s">
        <v>54</v>
      </c>
      <c r="C254" s="154" t="s">
        <v>63</v>
      </c>
      <c r="D254" s="1"/>
      <c r="E254" s="1"/>
      <c r="F254" s="1"/>
      <c r="G254" s="1"/>
    </row>
    <row r="255" spans="1:7" ht="84" x14ac:dyDescent="0.35">
      <c r="A255" s="154" t="s">
        <v>21</v>
      </c>
      <c r="B255" s="154" t="s">
        <v>54</v>
      </c>
      <c r="C255" s="154" t="s">
        <v>63</v>
      </c>
      <c r="D255" s="1"/>
      <c r="E255" s="1"/>
      <c r="F255" s="1"/>
      <c r="G255" s="1"/>
    </row>
    <row r="256" spans="1:7" ht="84" x14ac:dyDescent="0.35">
      <c r="A256" s="154" t="s">
        <v>21</v>
      </c>
      <c r="B256" s="154" t="s">
        <v>54</v>
      </c>
      <c r="C256" s="154" t="s">
        <v>63</v>
      </c>
      <c r="D256" s="1"/>
      <c r="E256" s="1"/>
      <c r="F256" s="1"/>
      <c r="G256" s="1"/>
    </row>
    <row r="257" spans="1:7" ht="84" x14ac:dyDescent="0.35">
      <c r="A257" s="154" t="s">
        <v>21</v>
      </c>
      <c r="B257" s="154" t="s">
        <v>54</v>
      </c>
      <c r="C257" s="154" t="s">
        <v>63</v>
      </c>
      <c r="D257" s="1"/>
      <c r="E257" s="1"/>
      <c r="F257" s="1"/>
      <c r="G257" s="1"/>
    </row>
    <row r="258" spans="1:7" ht="84" x14ac:dyDescent="0.35">
      <c r="A258" s="154" t="s">
        <v>21</v>
      </c>
      <c r="B258" s="154" t="s">
        <v>54</v>
      </c>
      <c r="C258" s="154" t="s">
        <v>63</v>
      </c>
      <c r="D258" s="1"/>
      <c r="E258" s="1"/>
      <c r="F258" s="1"/>
      <c r="G258" s="1"/>
    </row>
    <row r="259" spans="1:7" ht="84" x14ac:dyDescent="0.35">
      <c r="A259" s="154" t="s">
        <v>21</v>
      </c>
      <c r="B259" s="154" t="s">
        <v>54</v>
      </c>
      <c r="C259" s="154" t="s">
        <v>63</v>
      </c>
      <c r="D259" s="1"/>
      <c r="E259" s="1"/>
      <c r="F259" s="1"/>
      <c r="G259" s="1"/>
    </row>
    <row r="260" spans="1:7" ht="84" x14ac:dyDescent="0.35">
      <c r="A260" s="154" t="s">
        <v>21</v>
      </c>
      <c r="B260" s="154" t="s">
        <v>54</v>
      </c>
      <c r="C260" s="154" t="s">
        <v>63</v>
      </c>
      <c r="D260" s="1"/>
      <c r="E260" s="1"/>
      <c r="F260" s="1"/>
      <c r="G260" s="1"/>
    </row>
    <row r="261" spans="1:7" ht="56" x14ac:dyDescent="0.35">
      <c r="A261" s="154" t="s">
        <v>21</v>
      </c>
      <c r="B261" s="154" t="s">
        <v>54</v>
      </c>
      <c r="C261" s="154" t="s">
        <v>65</v>
      </c>
      <c r="D261" s="1"/>
      <c r="E261" s="1"/>
      <c r="F261" s="1"/>
      <c r="G261" s="1"/>
    </row>
    <row r="262" spans="1:7" ht="56" x14ac:dyDescent="0.35">
      <c r="A262" s="154" t="s">
        <v>21</v>
      </c>
      <c r="B262" s="154" t="s">
        <v>54</v>
      </c>
      <c r="C262" s="154" t="s">
        <v>65</v>
      </c>
      <c r="D262" s="1"/>
      <c r="E262" s="1"/>
      <c r="F262" s="1"/>
      <c r="G262" s="1"/>
    </row>
    <row r="263" spans="1:7" ht="56" x14ac:dyDescent="0.35">
      <c r="A263" s="154" t="s">
        <v>21</v>
      </c>
      <c r="B263" s="154" t="s">
        <v>54</v>
      </c>
      <c r="C263" s="154" t="s">
        <v>65</v>
      </c>
      <c r="D263" s="1"/>
      <c r="E263" s="1"/>
      <c r="F263" s="1"/>
      <c r="G263" s="1"/>
    </row>
    <row r="264" spans="1:7" ht="56" x14ac:dyDescent="0.35">
      <c r="A264" s="154" t="s">
        <v>21</v>
      </c>
      <c r="B264" s="154" t="s">
        <v>54</v>
      </c>
      <c r="C264" s="154" t="s">
        <v>65</v>
      </c>
      <c r="D264" s="1"/>
      <c r="E264" s="1"/>
      <c r="F264" s="1"/>
      <c r="G264" s="1"/>
    </row>
    <row r="265" spans="1:7" ht="56" x14ac:dyDescent="0.35">
      <c r="A265" s="154" t="s">
        <v>21</v>
      </c>
      <c r="B265" s="154" t="s">
        <v>54</v>
      </c>
      <c r="C265" s="154" t="s">
        <v>65</v>
      </c>
      <c r="D265" s="1"/>
      <c r="E265" s="1"/>
      <c r="F265" s="1"/>
      <c r="G265" s="1"/>
    </row>
    <row r="266" spans="1:7" ht="56" x14ac:dyDescent="0.35">
      <c r="A266" s="154" t="s">
        <v>21</v>
      </c>
      <c r="B266" s="154" t="s">
        <v>54</v>
      </c>
      <c r="C266" s="154" t="s">
        <v>65</v>
      </c>
      <c r="D266" s="1"/>
      <c r="E266" s="1"/>
      <c r="F266" s="1"/>
      <c r="G266" s="1"/>
    </row>
    <row r="267" spans="1:7" ht="56" x14ac:dyDescent="0.35">
      <c r="A267" s="154" t="s">
        <v>21</v>
      </c>
      <c r="B267" s="154" t="s">
        <v>54</v>
      </c>
      <c r="C267" s="154" t="s">
        <v>65</v>
      </c>
      <c r="D267" s="1"/>
      <c r="E267" s="1"/>
      <c r="F267" s="1"/>
      <c r="G267" s="1"/>
    </row>
    <row r="268" spans="1:7" ht="56" x14ac:dyDescent="0.35">
      <c r="A268" s="154" t="s">
        <v>21</v>
      </c>
      <c r="B268" s="154" t="s">
        <v>54</v>
      </c>
      <c r="C268" s="154" t="s">
        <v>65</v>
      </c>
      <c r="D268" s="1"/>
      <c r="E268" s="1"/>
      <c r="F268" s="1"/>
      <c r="G268" s="1"/>
    </row>
    <row r="269" spans="1:7" ht="56" x14ac:dyDescent="0.35">
      <c r="A269" s="154" t="s">
        <v>21</v>
      </c>
      <c r="B269" s="154" t="s">
        <v>54</v>
      </c>
      <c r="C269" s="154" t="s">
        <v>65</v>
      </c>
      <c r="D269" s="1"/>
      <c r="E269" s="1"/>
      <c r="F269" s="1"/>
      <c r="G269" s="1"/>
    </row>
    <row r="270" spans="1:7" ht="56" x14ac:dyDescent="0.35">
      <c r="A270" s="154" t="s">
        <v>21</v>
      </c>
      <c r="B270" s="154" t="s">
        <v>54</v>
      </c>
      <c r="C270" s="154" t="s">
        <v>65</v>
      </c>
      <c r="D270" s="1"/>
      <c r="E270" s="1"/>
      <c r="F270" s="1"/>
      <c r="G270" s="1"/>
    </row>
    <row r="271" spans="1:7" ht="56" x14ac:dyDescent="0.35">
      <c r="A271" s="154" t="s">
        <v>21</v>
      </c>
      <c r="B271" s="154" t="s">
        <v>54</v>
      </c>
      <c r="C271" s="154" t="s">
        <v>65</v>
      </c>
      <c r="D271" s="1"/>
      <c r="E271" s="1"/>
      <c r="F271" s="1"/>
      <c r="G271" s="1"/>
    </row>
    <row r="272" spans="1:7" ht="56" x14ac:dyDescent="0.35">
      <c r="A272" s="154" t="s">
        <v>21</v>
      </c>
      <c r="B272" s="154" t="s">
        <v>54</v>
      </c>
      <c r="C272" s="154" t="s">
        <v>65</v>
      </c>
      <c r="D272" s="1"/>
      <c r="E272" s="1"/>
      <c r="F272" s="1"/>
      <c r="G272" s="1"/>
    </row>
    <row r="273" spans="1:7" ht="56" x14ac:dyDescent="0.35">
      <c r="A273" s="154" t="s">
        <v>21</v>
      </c>
      <c r="B273" s="154" t="s">
        <v>54</v>
      </c>
      <c r="C273" s="154" t="s">
        <v>65</v>
      </c>
      <c r="D273" s="1"/>
      <c r="E273" s="1"/>
      <c r="F273" s="1"/>
      <c r="G273" s="1"/>
    </row>
    <row r="274" spans="1:7" ht="56" x14ac:dyDescent="0.35">
      <c r="A274" s="154" t="s">
        <v>21</v>
      </c>
      <c r="B274" s="154" t="s">
        <v>54</v>
      </c>
      <c r="C274" s="154" t="s">
        <v>65</v>
      </c>
      <c r="D274" s="1"/>
      <c r="E274" s="1"/>
      <c r="F274" s="1"/>
      <c r="G274" s="1"/>
    </row>
    <row r="275" spans="1:7" ht="56" x14ac:dyDescent="0.35">
      <c r="A275" s="154" t="s">
        <v>21</v>
      </c>
      <c r="B275" s="154" t="s">
        <v>54</v>
      </c>
      <c r="C275" s="154" t="s">
        <v>65</v>
      </c>
      <c r="D275" s="1"/>
      <c r="E275" s="1"/>
      <c r="F275" s="1"/>
      <c r="G275" s="1"/>
    </row>
    <row r="276" spans="1:7" ht="56" x14ac:dyDescent="0.35">
      <c r="A276" s="154" t="s">
        <v>21</v>
      </c>
      <c r="B276" s="154" t="s">
        <v>54</v>
      </c>
      <c r="C276" s="154" t="s">
        <v>65</v>
      </c>
      <c r="D276" s="1"/>
      <c r="E276" s="1"/>
      <c r="F276" s="1"/>
      <c r="G276" s="1"/>
    </row>
    <row r="277" spans="1:7" ht="56" x14ac:dyDescent="0.35">
      <c r="A277" s="154" t="s">
        <v>21</v>
      </c>
      <c r="B277" s="154" t="s">
        <v>54</v>
      </c>
      <c r="C277" s="154" t="s">
        <v>65</v>
      </c>
      <c r="D277" s="1"/>
      <c r="E277" s="1"/>
      <c r="F277" s="1"/>
      <c r="G277" s="1"/>
    </row>
    <row r="278" spans="1:7" ht="56" x14ac:dyDescent="0.35">
      <c r="A278" s="154" t="s">
        <v>21</v>
      </c>
      <c r="B278" s="154" t="s">
        <v>54</v>
      </c>
      <c r="C278" s="154" t="s">
        <v>65</v>
      </c>
      <c r="D278" s="1"/>
      <c r="E278" s="1"/>
      <c r="F278" s="1"/>
      <c r="G278" s="1"/>
    </row>
    <row r="279" spans="1:7" ht="56" x14ac:dyDescent="0.35">
      <c r="A279" s="154" t="s">
        <v>21</v>
      </c>
      <c r="B279" s="154" t="s">
        <v>54</v>
      </c>
      <c r="C279" s="154" t="s">
        <v>65</v>
      </c>
      <c r="D279" s="1"/>
      <c r="E279" s="1"/>
      <c r="F279" s="1"/>
      <c r="G279" s="1"/>
    </row>
    <row r="280" spans="1:7" ht="56" x14ac:dyDescent="0.35">
      <c r="A280" s="154" t="s">
        <v>21</v>
      </c>
      <c r="B280" s="154" t="s">
        <v>54</v>
      </c>
      <c r="C280" s="154" t="s">
        <v>65</v>
      </c>
      <c r="D280" s="1"/>
      <c r="E280" s="1"/>
      <c r="F280" s="1"/>
      <c r="G280" s="1"/>
    </row>
    <row r="281" spans="1:7" ht="56" x14ac:dyDescent="0.35">
      <c r="A281" s="154" t="s">
        <v>21</v>
      </c>
      <c r="B281" s="154" t="s">
        <v>54</v>
      </c>
      <c r="C281" s="154" t="s">
        <v>65</v>
      </c>
      <c r="D281" s="1"/>
      <c r="E281" s="1"/>
      <c r="F281" s="1"/>
      <c r="G281" s="1"/>
    </row>
    <row r="282" spans="1:7" ht="56" x14ac:dyDescent="0.35">
      <c r="A282" s="154" t="s">
        <v>21</v>
      </c>
      <c r="B282" s="154" t="s">
        <v>54</v>
      </c>
      <c r="C282" s="154" t="s">
        <v>65</v>
      </c>
      <c r="D282" s="1"/>
      <c r="E282" s="1"/>
      <c r="F282" s="1"/>
      <c r="G282" s="1"/>
    </row>
    <row r="283" spans="1:7" ht="56" x14ac:dyDescent="0.35">
      <c r="A283" s="154" t="s">
        <v>21</v>
      </c>
      <c r="B283" s="154" t="s">
        <v>54</v>
      </c>
      <c r="C283" s="154" t="s">
        <v>65</v>
      </c>
      <c r="D283" s="1"/>
      <c r="E283" s="1"/>
      <c r="F283" s="1"/>
      <c r="G283" s="1"/>
    </row>
    <row r="284" spans="1:7" ht="56" x14ac:dyDescent="0.35">
      <c r="A284" s="154" t="s">
        <v>21</v>
      </c>
      <c r="B284" s="154" t="s">
        <v>54</v>
      </c>
      <c r="C284" s="154" t="s">
        <v>65</v>
      </c>
      <c r="D284" s="1"/>
      <c r="E284" s="1"/>
      <c r="F284" s="1"/>
      <c r="G284" s="1"/>
    </row>
    <row r="285" spans="1:7" ht="56" x14ac:dyDescent="0.35">
      <c r="A285" s="154" t="s">
        <v>21</v>
      </c>
      <c r="B285" s="154" t="s">
        <v>54</v>
      </c>
      <c r="C285" s="154" t="s">
        <v>65</v>
      </c>
      <c r="D285" s="1"/>
      <c r="E285" s="1"/>
      <c r="F285" s="1"/>
      <c r="G285" s="1"/>
    </row>
    <row r="286" spans="1:7" ht="56" x14ac:dyDescent="0.35">
      <c r="A286" s="154" t="s">
        <v>21</v>
      </c>
      <c r="B286" s="154" t="s">
        <v>54</v>
      </c>
      <c r="C286" s="154" t="s">
        <v>65</v>
      </c>
      <c r="D286" s="1"/>
      <c r="E286" s="1"/>
      <c r="F286" s="1"/>
      <c r="G286" s="1"/>
    </row>
    <row r="287" spans="1:7" ht="56" x14ac:dyDescent="0.35">
      <c r="A287" s="154" t="s">
        <v>21</v>
      </c>
      <c r="B287" s="154" t="s">
        <v>54</v>
      </c>
      <c r="C287" s="154" t="s">
        <v>65</v>
      </c>
      <c r="D287" s="1"/>
      <c r="E287" s="1"/>
      <c r="F287" s="1"/>
      <c r="G287" s="1"/>
    </row>
    <row r="288" spans="1:7" ht="56" x14ac:dyDescent="0.35">
      <c r="A288" s="154" t="s">
        <v>21</v>
      </c>
      <c r="B288" s="154" t="s">
        <v>54</v>
      </c>
      <c r="C288" s="154" t="s">
        <v>65</v>
      </c>
      <c r="D288" s="1"/>
      <c r="E288" s="1"/>
      <c r="F288" s="1"/>
      <c r="G288" s="1"/>
    </row>
    <row r="289" spans="1:7" ht="56" x14ac:dyDescent="0.35">
      <c r="A289" s="154" t="s">
        <v>21</v>
      </c>
      <c r="B289" s="154" t="s">
        <v>54</v>
      </c>
      <c r="C289" s="154" t="s">
        <v>65</v>
      </c>
      <c r="D289" s="1"/>
      <c r="E289" s="1"/>
      <c r="F289" s="1"/>
      <c r="G289" s="1"/>
    </row>
    <row r="290" spans="1:7" ht="56" x14ac:dyDescent="0.35">
      <c r="A290" s="154" t="s">
        <v>21</v>
      </c>
      <c r="B290" s="154" t="s">
        <v>54</v>
      </c>
      <c r="C290" s="154" t="s">
        <v>65</v>
      </c>
      <c r="D290" s="1"/>
      <c r="E290" s="1"/>
      <c r="F290" s="1"/>
      <c r="G290" s="1"/>
    </row>
    <row r="291" spans="1:7" ht="56" x14ac:dyDescent="0.35">
      <c r="A291" s="154" t="s">
        <v>21</v>
      </c>
      <c r="B291" s="154" t="s">
        <v>54</v>
      </c>
      <c r="C291" s="154" t="s">
        <v>65</v>
      </c>
      <c r="D291" s="1"/>
      <c r="E291" s="1"/>
      <c r="F291" s="1"/>
      <c r="G291" s="1"/>
    </row>
    <row r="292" spans="1:7" ht="56" x14ac:dyDescent="0.35">
      <c r="A292" s="154" t="s">
        <v>21</v>
      </c>
      <c r="B292" s="154" t="s">
        <v>54</v>
      </c>
      <c r="C292" s="154" t="s">
        <v>65</v>
      </c>
      <c r="D292" s="1"/>
      <c r="E292" s="1"/>
      <c r="F292" s="1"/>
      <c r="G292" s="1"/>
    </row>
    <row r="293" spans="1:7" ht="56" x14ac:dyDescent="0.35">
      <c r="A293" s="154" t="s">
        <v>21</v>
      </c>
      <c r="B293" s="154" t="s">
        <v>54</v>
      </c>
      <c r="C293" s="154" t="s">
        <v>65</v>
      </c>
      <c r="D293" s="1"/>
      <c r="E293" s="1"/>
      <c r="F293" s="1"/>
      <c r="G293" s="1"/>
    </row>
    <row r="294" spans="1:7" ht="56" x14ac:dyDescent="0.35">
      <c r="A294" s="154" t="s">
        <v>21</v>
      </c>
      <c r="B294" s="154" t="s">
        <v>54</v>
      </c>
      <c r="C294" s="154" t="s">
        <v>65</v>
      </c>
      <c r="D294" s="1"/>
      <c r="E294" s="1"/>
      <c r="F294" s="1"/>
      <c r="G294" s="1"/>
    </row>
    <row r="295" spans="1:7" ht="56" x14ac:dyDescent="0.35">
      <c r="A295" s="154" t="s">
        <v>21</v>
      </c>
      <c r="B295" s="154" t="s">
        <v>54</v>
      </c>
      <c r="C295" s="154" t="s">
        <v>65</v>
      </c>
      <c r="D295" s="1"/>
      <c r="E295" s="1"/>
      <c r="F295" s="1"/>
      <c r="G295" s="1"/>
    </row>
    <row r="296" spans="1:7" ht="56" x14ac:dyDescent="0.35">
      <c r="A296" s="154" t="s">
        <v>21</v>
      </c>
      <c r="B296" s="154" t="s">
        <v>54</v>
      </c>
      <c r="C296" s="154" t="s">
        <v>65</v>
      </c>
      <c r="D296" s="1"/>
      <c r="E296" s="1"/>
      <c r="F296" s="1"/>
      <c r="G296" s="1"/>
    </row>
    <row r="297" spans="1:7" ht="56" x14ac:dyDescent="0.35">
      <c r="A297" s="154" t="s">
        <v>21</v>
      </c>
      <c r="B297" s="154" t="s">
        <v>54</v>
      </c>
      <c r="C297" s="154" t="s">
        <v>65</v>
      </c>
      <c r="D297" s="1"/>
      <c r="E297" s="1"/>
      <c r="F297" s="1"/>
      <c r="G297" s="1"/>
    </row>
    <row r="298" spans="1:7" ht="56" x14ac:dyDescent="0.35">
      <c r="A298" s="154" t="s">
        <v>21</v>
      </c>
      <c r="B298" s="154" t="s">
        <v>54</v>
      </c>
      <c r="C298" s="154" t="s">
        <v>65</v>
      </c>
      <c r="D298" s="1"/>
      <c r="E298" s="1"/>
      <c r="F298" s="1"/>
      <c r="G298" s="1"/>
    </row>
    <row r="299" spans="1:7" ht="56" x14ac:dyDescent="0.35">
      <c r="A299" s="154" t="s">
        <v>21</v>
      </c>
      <c r="B299" s="154" t="s">
        <v>54</v>
      </c>
      <c r="C299" s="154" t="s">
        <v>65</v>
      </c>
      <c r="D299" s="1"/>
      <c r="E299" s="1"/>
      <c r="F299" s="1"/>
      <c r="G299" s="1"/>
    </row>
    <row r="300" spans="1:7" ht="56" x14ac:dyDescent="0.35">
      <c r="A300" s="154" t="s">
        <v>21</v>
      </c>
      <c r="B300" s="154" t="s">
        <v>54</v>
      </c>
      <c r="C300" s="154" t="s">
        <v>65</v>
      </c>
      <c r="D300" s="1"/>
      <c r="E300" s="1"/>
      <c r="F300" s="1"/>
      <c r="G300" s="1"/>
    </row>
    <row r="301" spans="1:7" ht="56" x14ac:dyDescent="0.35">
      <c r="A301" s="154" t="s">
        <v>21</v>
      </c>
      <c r="B301" s="154" t="s">
        <v>54</v>
      </c>
      <c r="C301" s="154" t="s">
        <v>65</v>
      </c>
      <c r="D301" s="1"/>
      <c r="E301" s="1"/>
      <c r="F301" s="1"/>
      <c r="G301" s="1"/>
    </row>
    <row r="302" spans="1:7" ht="56" x14ac:dyDescent="0.35">
      <c r="A302" s="154" t="s">
        <v>21</v>
      </c>
      <c r="B302" s="154" t="s">
        <v>54</v>
      </c>
      <c r="C302" s="154" t="s">
        <v>65</v>
      </c>
      <c r="D302" s="1"/>
      <c r="E302" s="1"/>
      <c r="F302" s="1"/>
      <c r="G302" s="1"/>
    </row>
    <row r="303" spans="1:7" ht="56" x14ac:dyDescent="0.35">
      <c r="A303" s="154" t="s">
        <v>21</v>
      </c>
      <c r="B303" s="154" t="s">
        <v>54</v>
      </c>
      <c r="C303" s="154" t="s">
        <v>65</v>
      </c>
      <c r="D303" s="1"/>
      <c r="E303" s="1"/>
      <c r="F303" s="1"/>
      <c r="G303" s="1"/>
    </row>
    <row r="304" spans="1:7" ht="98" x14ac:dyDescent="0.35">
      <c r="A304" s="154" t="s">
        <v>21</v>
      </c>
      <c r="B304" s="154" t="s">
        <v>54</v>
      </c>
      <c r="C304" s="154" t="s">
        <v>1793</v>
      </c>
      <c r="D304" s="1"/>
      <c r="E304" s="1"/>
      <c r="F304" s="1"/>
      <c r="G304" s="1"/>
    </row>
    <row r="305" spans="1:7" ht="98" x14ac:dyDescent="0.35">
      <c r="A305" s="154" t="s">
        <v>21</v>
      </c>
      <c r="B305" s="154" t="s">
        <v>54</v>
      </c>
      <c r="C305" s="154" t="s">
        <v>1793</v>
      </c>
      <c r="D305" s="1"/>
      <c r="E305" s="1"/>
      <c r="F305" s="1"/>
      <c r="G305" s="1"/>
    </row>
    <row r="306" spans="1:7" ht="98" x14ac:dyDescent="0.35">
      <c r="A306" s="154" t="s">
        <v>21</v>
      </c>
      <c r="B306" s="154" t="s">
        <v>54</v>
      </c>
      <c r="C306" s="154" t="s">
        <v>1793</v>
      </c>
      <c r="D306" s="1"/>
      <c r="E306" s="1"/>
      <c r="F306" s="1"/>
      <c r="G306" s="1"/>
    </row>
    <row r="307" spans="1:7" ht="98" x14ac:dyDescent="0.35">
      <c r="A307" s="154" t="s">
        <v>21</v>
      </c>
      <c r="B307" s="154" t="s">
        <v>54</v>
      </c>
      <c r="C307" s="154" t="s">
        <v>1793</v>
      </c>
      <c r="D307" s="1"/>
      <c r="E307" s="1"/>
      <c r="F307" s="1"/>
      <c r="G307" s="1"/>
    </row>
    <row r="308" spans="1:7" ht="98" x14ac:dyDescent="0.35">
      <c r="A308" s="154" t="s">
        <v>21</v>
      </c>
      <c r="B308" s="154" t="s">
        <v>54</v>
      </c>
      <c r="C308" s="154" t="s">
        <v>1793</v>
      </c>
      <c r="D308" s="1"/>
      <c r="E308" s="1"/>
      <c r="F308" s="1"/>
      <c r="G308" s="1"/>
    </row>
    <row r="309" spans="1:7" ht="98" x14ac:dyDescent="0.35">
      <c r="A309" s="154" t="s">
        <v>21</v>
      </c>
      <c r="B309" s="154" t="s">
        <v>54</v>
      </c>
      <c r="C309" s="154" t="s">
        <v>1793</v>
      </c>
      <c r="D309" s="1"/>
      <c r="E309" s="1"/>
      <c r="F309" s="1"/>
      <c r="G309" s="1"/>
    </row>
    <row r="310" spans="1:7" ht="98" x14ac:dyDescent="0.35">
      <c r="A310" s="154" t="s">
        <v>21</v>
      </c>
      <c r="B310" s="154" t="s">
        <v>54</v>
      </c>
      <c r="C310" s="154" t="s">
        <v>1793</v>
      </c>
      <c r="D310" s="1"/>
      <c r="E310" s="1"/>
      <c r="F310" s="1"/>
      <c r="G310" s="1"/>
    </row>
    <row r="311" spans="1:7" ht="98" x14ac:dyDescent="0.35">
      <c r="A311" s="154" t="s">
        <v>21</v>
      </c>
      <c r="B311" s="154" t="s">
        <v>54</v>
      </c>
      <c r="C311" s="154" t="s">
        <v>1793</v>
      </c>
      <c r="D311" s="1"/>
      <c r="E311" s="1"/>
      <c r="F311" s="1"/>
      <c r="G311" s="1"/>
    </row>
    <row r="312" spans="1:7" ht="98" x14ac:dyDescent="0.35">
      <c r="A312" s="154" t="s">
        <v>21</v>
      </c>
      <c r="B312" s="154" t="s">
        <v>54</v>
      </c>
      <c r="C312" s="154" t="s">
        <v>1793</v>
      </c>
      <c r="D312" s="1"/>
      <c r="E312" s="1"/>
      <c r="F312" s="1"/>
      <c r="G312" s="1"/>
    </row>
    <row r="313" spans="1:7" ht="98" x14ac:dyDescent="0.35">
      <c r="A313" s="154" t="s">
        <v>21</v>
      </c>
      <c r="B313" s="154" t="s">
        <v>54</v>
      </c>
      <c r="C313" s="154" t="s">
        <v>1793</v>
      </c>
      <c r="D313" s="1"/>
      <c r="E313" s="1"/>
      <c r="F313" s="1"/>
      <c r="G313" s="1"/>
    </row>
    <row r="314" spans="1:7" ht="98" x14ac:dyDescent="0.35">
      <c r="A314" s="154" t="s">
        <v>21</v>
      </c>
      <c r="B314" s="154" t="s">
        <v>54</v>
      </c>
      <c r="C314" s="154" t="s">
        <v>1793</v>
      </c>
      <c r="D314" s="1"/>
      <c r="E314" s="1"/>
      <c r="F314" s="1"/>
      <c r="G314" s="1"/>
    </row>
    <row r="315" spans="1:7" ht="98" x14ac:dyDescent="0.35">
      <c r="A315" s="154" t="s">
        <v>21</v>
      </c>
      <c r="B315" s="154" t="s">
        <v>54</v>
      </c>
      <c r="C315" s="154" t="s">
        <v>1793</v>
      </c>
      <c r="D315" s="1"/>
      <c r="E315" s="1"/>
      <c r="F315" s="1"/>
      <c r="G315" s="1"/>
    </row>
    <row r="316" spans="1:7" ht="98" x14ac:dyDescent="0.35">
      <c r="A316" s="154" t="s">
        <v>21</v>
      </c>
      <c r="B316" s="154" t="s">
        <v>54</v>
      </c>
      <c r="C316" s="154" t="s">
        <v>1793</v>
      </c>
      <c r="D316" s="1"/>
      <c r="E316" s="1"/>
      <c r="F316" s="1"/>
      <c r="G316" s="1"/>
    </row>
    <row r="317" spans="1:7" ht="98" x14ac:dyDescent="0.35">
      <c r="A317" s="154" t="s">
        <v>21</v>
      </c>
      <c r="B317" s="154" t="s">
        <v>54</v>
      </c>
      <c r="C317" s="154" t="s">
        <v>1793</v>
      </c>
      <c r="D317" s="1"/>
      <c r="E317" s="1"/>
      <c r="F317" s="1"/>
      <c r="G317" s="1"/>
    </row>
    <row r="318" spans="1:7" ht="98" x14ac:dyDescent="0.35">
      <c r="A318" s="154" t="s">
        <v>21</v>
      </c>
      <c r="B318" s="154" t="s">
        <v>54</v>
      </c>
      <c r="C318" s="154" t="s">
        <v>1793</v>
      </c>
      <c r="D318" s="1"/>
      <c r="E318" s="1"/>
      <c r="F318" s="1"/>
      <c r="G318" s="1"/>
    </row>
    <row r="319" spans="1:7" ht="98" x14ac:dyDescent="0.35">
      <c r="A319" s="154" t="s">
        <v>21</v>
      </c>
      <c r="B319" s="154" t="s">
        <v>54</v>
      </c>
      <c r="C319" s="154" t="s">
        <v>1793</v>
      </c>
      <c r="D319" s="1"/>
      <c r="E319" s="1"/>
      <c r="F319" s="1"/>
      <c r="G319" s="1"/>
    </row>
    <row r="320" spans="1:7" ht="98" x14ac:dyDescent="0.35">
      <c r="A320" s="154" t="s">
        <v>21</v>
      </c>
      <c r="B320" s="154" t="s">
        <v>54</v>
      </c>
      <c r="C320" s="154" t="s">
        <v>1793</v>
      </c>
      <c r="D320" s="1"/>
      <c r="E320" s="1"/>
      <c r="F320" s="1"/>
      <c r="G320" s="1"/>
    </row>
    <row r="321" spans="1:7" ht="98" x14ac:dyDescent="0.35">
      <c r="A321" s="154" t="s">
        <v>21</v>
      </c>
      <c r="B321" s="154" t="s">
        <v>54</v>
      </c>
      <c r="C321" s="154" t="s">
        <v>1793</v>
      </c>
      <c r="D321" s="1"/>
      <c r="E321" s="1"/>
      <c r="F321" s="1"/>
      <c r="G321" s="1"/>
    </row>
    <row r="322" spans="1:7" ht="98" x14ac:dyDescent="0.35">
      <c r="A322" s="154" t="s">
        <v>21</v>
      </c>
      <c r="B322" s="154" t="s">
        <v>54</v>
      </c>
      <c r="C322" s="154" t="s">
        <v>1793</v>
      </c>
      <c r="D322" s="1"/>
      <c r="E322" s="1"/>
      <c r="F322" s="1"/>
      <c r="G322" s="1"/>
    </row>
    <row r="323" spans="1:7" ht="98" x14ac:dyDescent="0.35">
      <c r="A323" s="154" t="s">
        <v>21</v>
      </c>
      <c r="B323" s="154" t="s">
        <v>54</v>
      </c>
      <c r="C323" s="154" t="s">
        <v>1793</v>
      </c>
      <c r="D323" s="1"/>
      <c r="E323" s="1"/>
      <c r="F323" s="1"/>
      <c r="G323" s="1"/>
    </row>
    <row r="324" spans="1:7" ht="98" x14ac:dyDescent="0.35">
      <c r="A324" s="154" t="s">
        <v>21</v>
      </c>
      <c r="B324" s="154" t="s">
        <v>54</v>
      </c>
      <c r="C324" s="154" t="s">
        <v>1793</v>
      </c>
      <c r="D324" s="1"/>
      <c r="E324" s="1"/>
      <c r="F324" s="1"/>
      <c r="G324" s="1"/>
    </row>
    <row r="325" spans="1:7" ht="98" x14ac:dyDescent="0.35">
      <c r="A325" s="154" t="s">
        <v>21</v>
      </c>
      <c r="B325" s="154" t="s">
        <v>54</v>
      </c>
      <c r="C325" s="154" t="s">
        <v>1793</v>
      </c>
      <c r="D325" s="1"/>
      <c r="E325" s="1"/>
      <c r="F325" s="1"/>
      <c r="G325" s="1"/>
    </row>
    <row r="326" spans="1:7" ht="98" x14ac:dyDescent="0.35">
      <c r="A326" s="154" t="s">
        <v>21</v>
      </c>
      <c r="B326" s="154" t="s">
        <v>54</v>
      </c>
      <c r="C326" s="154" t="s">
        <v>1793</v>
      </c>
      <c r="D326" s="1"/>
      <c r="E326" s="1"/>
      <c r="F326" s="1"/>
      <c r="G326" s="1"/>
    </row>
    <row r="327" spans="1:7" ht="98" x14ac:dyDescent="0.35">
      <c r="A327" s="154" t="s">
        <v>21</v>
      </c>
      <c r="B327" s="154" t="s">
        <v>54</v>
      </c>
      <c r="C327" s="154" t="s">
        <v>1793</v>
      </c>
      <c r="D327" s="1"/>
      <c r="E327" s="1"/>
      <c r="F327" s="1"/>
      <c r="G327" s="1"/>
    </row>
    <row r="328" spans="1:7" ht="98" x14ac:dyDescent="0.35">
      <c r="A328" s="154" t="s">
        <v>21</v>
      </c>
      <c r="B328" s="154" t="s">
        <v>54</v>
      </c>
      <c r="C328" s="154" t="s">
        <v>1793</v>
      </c>
      <c r="D328" s="1"/>
      <c r="E328" s="1"/>
      <c r="F328" s="1"/>
      <c r="G328" s="1"/>
    </row>
    <row r="329" spans="1:7" ht="98" x14ac:dyDescent="0.35">
      <c r="A329" s="154" t="s">
        <v>21</v>
      </c>
      <c r="B329" s="154" t="s">
        <v>54</v>
      </c>
      <c r="C329" s="154" t="s">
        <v>1793</v>
      </c>
      <c r="D329" s="1"/>
      <c r="E329" s="1"/>
      <c r="F329" s="1"/>
      <c r="G329" s="1"/>
    </row>
    <row r="330" spans="1:7" ht="98" x14ac:dyDescent="0.35">
      <c r="A330" s="154" t="s">
        <v>21</v>
      </c>
      <c r="B330" s="154" t="s">
        <v>54</v>
      </c>
      <c r="C330" s="154" t="s">
        <v>1793</v>
      </c>
      <c r="D330" s="1"/>
      <c r="E330" s="1"/>
      <c r="F330" s="1"/>
      <c r="G330" s="1"/>
    </row>
    <row r="331" spans="1:7" ht="84" x14ac:dyDescent="0.35">
      <c r="A331" s="154" t="s">
        <v>21</v>
      </c>
      <c r="B331" s="154" t="s">
        <v>54</v>
      </c>
      <c r="C331" s="154" t="s">
        <v>69</v>
      </c>
      <c r="D331" s="1"/>
      <c r="E331" s="1"/>
      <c r="F331" s="1"/>
      <c r="G331" s="1"/>
    </row>
    <row r="332" spans="1:7" ht="84" x14ac:dyDescent="0.35">
      <c r="A332" s="154" t="s">
        <v>21</v>
      </c>
      <c r="B332" s="154" t="s">
        <v>54</v>
      </c>
      <c r="C332" s="154" t="s">
        <v>69</v>
      </c>
      <c r="D332" s="1"/>
      <c r="E332" s="1"/>
      <c r="F332" s="1"/>
      <c r="G332" s="1"/>
    </row>
    <row r="333" spans="1:7" ht="84" x14ac:dyDescent="0.35">
      <c r="A333" s="154" t="s">
        <v>21</v>
      </c>
      <c r="B333" s="154" t="s">
        <v>54</v>
      </c>
      <c r="C333" s="154" t="s">
        <v>69</v>
      </c>
      <c r="D333" s="1"/>
      <c r="E333" s="1"/>
      <c r="F333" s="1"/>
      <c r="G333" s="1"/>
    </row>
    <row r="334" spans="1:7" ht="84" x14ac:dyDescent="0.35">
      <c r="A334" s="154" t="s">
        <v>21</v>
      </c>
      <c r="B334" s="154" t="s">
        <v>54</v>
      </c>
      <c r="C334" s="154" t="s">
        <v>69</v>
      </c>
      <c r="D334" s="1"/>
      <c r="E334" s="1"/>
      <c r="F334" s="1"/>
      <c r="G334" s="1"/>
    </row>
    <row r="335" spans="1:7" ht="84" x14ac:dyDescent="0.35">
      <c r="A335" s="154" t="s">
        <v>21</v>
      </c>
      <c r="B335" s="154" t="s">
        <v>54</v>
      </c>
      <c r="C335" s="154" t="s">
        <v>69</v>
      </c>
      <c r="D335" s="1"/>
      <c r="E335" s="1"/>
      <c r="F335" s="1"/>
      <c r="G335" s="1"/>
    </row>
    <row r="336" spans="1:7" ht="84" x14ac:dyDescent="0.35">
      <c r="A336" s="154" t="s">
        <v>21</v>
      </c>
      <c r="B336" s="154" t="s">
        <v>54</v>
      </c>
      <c r="C336" s="154" t="s">
        <v>69</v>
      </c>
      <c r="D336" s="1"/>
      <c r="E336" s="1"/>
      <c r="F336" s="1"/>
      <c r="G336" s="1"/>
    </row>
    <row r="337" spans="1:7" ht="84" x14ac:dyDescent="0.35">
      <c r="A337" s="154" t="s">
        <v>21</v>
      </c>
      <c r="B337" s="154" t="s">
        <v>54</v>
      </c>
      <c r="C337" s="154" t="s">
        <v>69</v>
      </c>
      <c r="D337" s="1"/>
      <c r="E337" s="1"/>
      <c r="F337" s="1"/>
      <c r="G337" s="1"/>
    </row>
    <row r="338" spans="1:7" ht="84" x14ac:dyDescent="0.35">
      <c r="A338" s="154" t="s">
        <v>21</v>
      </c>
      <c r="B338" s="154" t="s">
        <v>54</v>
      </c>
      <c r="C338" s="154" t="s">
        <v>69</v>
      </c>
      <c r="D338" s="1"/>
      <c r="E338" s="1"/>
      <c r="F338" s="1"/>
      <c r="G338" s="1"/>
    </row>
    <row r="339" spans="1:7" ht="84" x14ac:dyDescent="0.35">
      <c r="A339" s="154" t="s">
        <v>21</v>
      </c>
      <c r="B339" s="154" t="s">
        <v>54</v>
      </c>
      <c r="C339" s="154" t="s">
        <v>69</v>
      </c>
      <c r="D339" s="1"/>
      <c r="E339" s="1"/>
      <c r="F339" s="1"/>
      <c r="G339" s="1"/>
    </row>
    <row r="340" spans="1:7" ht="84" x14ac:dyDescent="0.35">
      <c r="A340" s="154" t="s">
        <v>21</v>
      </c>
      <c r="B340" s="154" t="s">
        <v>54</v>
      </c>
      <c r="C340" s="154" t="s">
        <v>69</v>
      </c>
      <c r="D340" s="1"/>
      <c r="E340" s="1"/>
      <c r="F340" s="1"/>
      <c r="G340" s="1"/>
    </row>
    <row r="341" spans="1:7" ht="84" x14ac:dyDescent="0.35">
      <c r="A341" s="154" t="s">
        <v>21</v>
      </c>
      <c r="B341" s="154" t="s">
        <v>54</v>
      </c>
      <c r="C341" s="154" t="s">
        <v>69</v>
      </c>
      <c r="D341" s="1"/>
      <c r="E341" s="1"/>
      <c r="F341" s="1"/>
      <c r="G341" s="1"/>
    </row>
    <row r="342" spans="1:7" ht="84" x14ac:dyDescent="0.35">
      <c r="A342" s="154" t="s">
        <v>21</v>
      </c>
      <c r="B342" s="154" t="s">
        <v>54</v>
      </c>
      <c r="C342" s="154" t="s">
        <v>69</v>
      </c>
      <c r="D342" s="1"/>
      <c r="E342" s="1"/>
      <c r="F342" s="1"/>
      <c r="G342" s="1"/>
    </row>
    <row r="343" spans="1:7" ht="84" x14ac:dyDescent="0.35">
      <c r="A343" s="154" t="s">
        <v>21</v>
      </c>
      <c r="B343" s="154" t="s">
        <v>54</v>
      </c>
      <c r="C343" s="154" t="s">
        <v>69</v>
      </c>
      <c r="D343" s="1"/>
      <c r="E343" s="1"/>
      <c r="F343" s="1"/>
      <c r="G343" s="1"/>
    </row>
    <row r="344" spans="1:7" ht="84" x14ac:dyDescent="0.35">
      <c r="A344" s="154" t="s">
        <v>21</v>
      </c>
      <c r="B344" s="154" t="s">
        <v>54</v>
      </c>
      <c r="C344" s="154" t="s">
        <v>69</v>
      </c>
      <c r="D344" s="1"/>
      <c r="E344" s="1"/>
      <c r="F344" s="1"/>
      <c r="G344" s="1"/>
    </row>
    <row r="345" spans="1:7" ht="84" x14ac:dyDescent="0.35">
      <c r="A345" s="154" t="s">
        <v>21</v>
      </c>
      <c r="B345" s="154" t="s">
        <v>54</v>
      </c>
      <c r="C345" s="154" t="s">
        <v>69</v>
      </c>
      <c r="D345" s="1"/>
      <c r="E345" s="1"/>
      <c r="F345" s="1"/>
      <c r="G345" s="1"/>
    </row>
    <row r="346" spans="1:7" ht="84" x14ac:dyDescent="0.35">
      <c r="A346" s="154" t="s">
        <v>21</v>
      </c>
      <c r="B346" s="154" t="s">
        <v>54</v>
      </c>
      <c r="C346" s="154" t="s">
        <v>69</v>
      </c>
      <c r="D346" s="1"/>
      <c r="E346" s="1"/>
      <c r="F346" s="1"/>
      <c r="G346" s="1"/>
    </row>
    <row r="347" spans="1:7" ht="70" x14ac:dyDescent="0.35">
      <c r="A347" s="154" t="s">
        <v>21</v>
      </c>
      <c r="B347" s="154" t="s">
        <v>70</v>
      </c>
      <c r="C347" s="154" t="s">
        <v>71</v>
      </c>
      <c r="D347" s="1"/>
      <c r="E347" s="1"/>
      <c r="F347" s="1"/>
      <c r="G347" s="1"/>
    </row>
    <row r="348" spans="1:7" ht="70" x14ac:dyDescent="0.35">
      <c r="A348" s="154" t="s">
        <v>21</v>
      </c>
      <c r="B348" s="154" t="s">
        <v>70</v>
      </c>
      <c r="C348" s="154" t="s">
        <v>71</v>
      </c>
      <c r="D348" s="1"/>
      <c r="E348" s="1"/>
      <c r="F348" s="1"/>
      <c r="G348" s="1"/>
    </row>
    <row r="349" spans="1:7" s="3" customFormat="1" ht="70" x14ac:dyDescent="0.35">
      <c r="A349" s="154" t="s">
        <v>21</v>
      </c>
      <c r="B349" s="154" t="s">
        <v>70</v>
      </c>
      <c r="C349" s="154" t="s">
        <v>71</v>
      </c>
    </row>
    <row r="350" spans="1:7" s="3" customFormat="1" ht="70" x14ac:dyDescent="0.35">
      <c r="A350" s="154" t="s">
        <v>21</v>
      </c>
      <c r="B350" s="154" t="s">
        <v>70</v>
      </c>
      <c r="C350" s="154" t="s">
        <v>71</v>
      </c>
    </row>
    <row r="351" spans="1:7" s="4" customFormat="1" ht="70" x14ac:dyDescent="0.35">
      <c r="A351" s="154" t="s">
        <v>21</v>
      </c>
      <c r="B351" s="154" t="s">
        <v>70</v>
      </c>
      <c r="C351" s="154" t="s">
        <v>71</v>
      </c>
    </row>
    <row r="352" spans="1:7" s="4" customFormat="1" ht="70" x14ac:dyDescent="0.35">
      <c r="A352" s="154" t="s">
        <v>21</v>
      </c>
      <c r="B352" s="154" t="s">
        <v>70</v>
      </c>
      <c r="C352" s="154" t="s">
        <v>71</v>
      </c>
    </row>
    <row r="353" spans="1:3" s="4" customFormat="1" ht="70" x14ac:dyDescent="0.35">
      <c r="A353" s="154" t="s">
        <v>21</v>
      </c>
      <c r="B353" s="154" t="s">
        <v>70</v>
      </c>
      <c r="C353" s="154" t="s">
        <v>71</v>
      </c>
    </row>
    <row r="354" spans="1:3" s="4" customFormat="1" ht="70" x14ac:dyDescent="0.35">
      <c r="A354" s="154" t="s">
        <v>21</v>
      </c>
      <c r="B354" s="154" t="s">
        <v>70</v>
      </c>
      <c r="C354" s="154" t="s">
        <v>71</v>
      </c>
    </row>
    <row r="355" spans="1:3" s="4" customFormat="1" ht="70" x14ac:dyDescent="0.35">
      <c r="A355" s="154" t="s">
        <v>21</v>
      </c>
      <c r="B355" s="154" t="s">
        <v>70</v>
      </c>
      <c r="C355" s="154" t="s">
        <v>71</v>
      </c>
    </row>
    <row r="356" spans="1:3" s="4" customFormat="1" ht="70" x14ac:dyDescent="0.35">
      <c r="A356" s="154" t="s">
        <v>21</v>
      </c>
      <c r="B356" s="154" t="s">
        <v>70</v>
      </c>
      <c r="C356" s="154" t="s">
        <v>71</v>
      </c>
    </row>
    <row r="357" spans="1:3" s="4" customFormat="1" ht="70" x14ac:dyDescent="0.35">
      <c r="A357" s="154" t="s">
        <v>21</v>
      </c>
      <c r="B357" s="154" t="s">
        <v>70</v>
      </c>
      <c r="C357" s="154" t="s">
        <v>71</v>
      </c>
    </row>
    <row r="358" spans="1:3" s="4" customFormat="1" ht="70" x14ac:dyDescent="0.35">
      <c r="A358" s="154" t="s">
        <v>21</v>
      </c>
      <c r="B358" s="154" t="s">
        <v>70</v>
      </c>
      <c r="C358" s="154" t="s">
        <v>71</v>
      </c>
    </row>
    <row r="359" spans="1:3" s="3" customFormat="1" ht="70" x14ac:dyDescent="0.35">
      <c r="A359" s="154" t="s">
        <v>21</v>
      </c>
      <c r="B359" s="154" t="s">
        <v>70</v>
      </c>
      <c r="C359" s="154" t="s">
        <v>71</v>
      </c>
    </row>
    <row r="360" spans="1:3" s="4" customFormat="1" ht="70" x14ac:dyDescent="0.35">
      <c r="A360" s="154" t="s">
        <v>21</v>
      </c>
      <c r="B360" s="154" t="s">
        <v>70</v>
      </c>
      <c r="C360" s="154" t="s">
        <v>71</v>
      </c>
    </row>
    <row r="361" spans="1:3" s="4" customFormat="1" ht="70" x14ac:dyDescent="0.35">
      <c r="A361" s="154" t="s">
        <v>21</v>
      </c>
      <c r="B361" s="154" t="s">
        <v>70</v>
      </c>
      <c r="C361" s="154" t="s">
        <v>71</v>
      </c>
    </row>
    <row r="362" spans="1:3" s="4" customFormat="1" ht="70" x14ac:dyDescent="0.35">
      <c r="A362" s="154" t="s">
        <v>21</v>
      </c>
      <c r="B362" s="154" t="s">
        <v>70</v>
      </c>
      <c r="C362" s="154" t="s">
        <v>71</v>
      </c>
    </row>
    <row r="363" spans="1:3" s="4" customFormat="1" ht="70" x14ac:dyDescent="0.35">
      <c r="A363" s="154" t="s">
        <v>21</v>
      </c>
      <c r="B363" s="154" t="s">
        <v>70</v>
      </c>
      <c r="C363" s="154" t="s">
        <v>71</v>
      </c>
    </row>
    <row r="364" spans="1:3" s="3" customFormat="1" ht="70" x14ac:dyDescent="0.35">
      <c r="A364" s="154" t="s">
        <v>21</v>
      </c>
      <c r="B364" s="154" t="s">
        <v>70</v>
      </c>
      <c r="C364" s="154" t="s">
        <v>71</v>
      </c>
    </row>
    <row r="365" spans="1:3" s="4" customFormat="1" ht="70" x14ac:dyDescent="0.35">
      <c r="A365" s="154" t="s">
        <v>21</v>
      </c>
      <c r="B365" s="154" t="s">
        <v>70</v>
      </c>
      <c r="C365" s="154" t="s">
        <v>71</v>
      </c>
    </row>
    <row r="366" spans="1:3" s="4" customFormat="1" ht="70" x14ac:dyDescent="0.35">
      <c r="A366" s="154" t="s">
        <v>21</v>
      </c>
      <c r="B366" s="154" t="s">
        <v>70</v>
      </c>
      <c r="C366" s="154" t="s">
        <v>71</v>
      </c>
    </row>
    <row r="367" spans="1:3" s="4" customFormat="1" ht="70" x14ac:dyDescent="0.35">
      <c r="A367" s="154" t="s">
        <v>21</v>
      </c>
      <c r="B367" s="154" t="s">
        <v>70</v>
      </c>
      <c r="C367" s="154" t="s">
        <v>71</v>
      </c>
    </row>
    <row r="368" spans="1:3" s="4" customFormat="1" ht="70" x14ac:dyDescent="0.35">
      <c r="A368" s="154" t="s">
        <v>21</v>
      </c>
      <c r="B368" s="154" t="s">
        <v>70</v>
      </c>
      <c r="C368" s="154" t="s">
        <v>71</v>
      </c>
    </row>
    <row r="369" spans="1:3" s="4" customFormat="1" ht="70" x14ac:dyDescent="0.35">
      <c r="A369" s="154" t="s">
        <v>21</v>
      </c>
      <c r="B369" s="154" t="s">
        <v>70</v>
      </c>
      <c r="C369" s="154" t="s">
        <v>71</v>
      </c>
    </row>
    <row r="370" spans="1:3" s="4" customFormat="1" ht="70" x14ac:dyDescent="0.35">
      <c r="A370" s="154" t="s">
        <v>21</v>
      </c>
      <c r="B370" s="154" t="s">
        <v>70</v>
      </c>
      <c r="C370" s="154" t="s">
        <v>71</v>
      </c>
    </row>
    <row r="371" spans="1:3" s="4" customFormat="1" ht="70" x14ac:dyDescent="0.35">
      <c r="A371" s="154" t="s">
        <v>21</v>
      </c>
      <c r="B371" s="154" t="s">
        <v>70</v>
      </c>
      <c r="C371" s="154" t="s">
        <v>71</v>
      </c>
    </row>
    <row r="372" spans="1:3" s="4" customFormat="1" ht="70" x14ac:dyDescent="0.35">
      <c r="A372" s="154" t="s">
        <v>21</v>
      </c>
      <c r="B372" s="154" t="s">
        <v>70</v>
      </c>
      <c r="C372" s="154" t="s">
        <v>71</v>
      </c>
    </row>
    <row r="373" spans="1:3" s="4" customFormat="1" ht="70" x14ac:dyDescent="0.35">
      <c r="A373" s="154" t="s">
        <v>21</v>
      </c>
      <c r="B373" s="154" t="s">
        <v>70</v>
      </c>
      <c r="C373" s="154" t="s">
        <v>71</v>
      </c>
    </row>
    <row r="374" spans="1:3" s="4" customFormat="1" ht="70" x14ac:dyDescent="0.35">
      <c r="A374" s="154" t="s">
        <v>21</v>
      </c>
      <c r="B374" s="154" t="s">
        <v>70</v>
      </c>
      <c r="C374" s="154" t="s">
        <v>71</v>
      </c>
    </row>
    <row r="375" spans="1:3" s="4" customFormat="1" ht="70" x14ac:dyDescent="0.35">
      <c r="A375" s="154" t="s">
        <v>21</v>
      </c>
      <c r="B375" s="154" t="s">
        <v>70</v>
      </c>
      <c r="C375" s="154" t="s">
        <v>71</v>
      </c>
    </row>
    <row r="376" spans="1:3" s="4" customFormat="1" ht="70" x14ac:dyDescent="0.35">
      <c r="A376" s="154" t="s">
        <v>21</v>
      </c>
      <c r="B376" s="154" t="s">
        <v>70</v>
      </c>
      <c r="C376" s="154" t="s">
        <v>71</v>
      </c>
    </row>
    <row r="377" spans="1:3" s="4" customFormat="1" ht="70" x14ac:dyDescent="0.35">
      <c r="A377" s="154" t="s">
        <v>21</v>
      </c>
      <c r="B377" s="154" t="s">
        <v>70</v>
      </c>
      <c r="C377" s="154" t="s">
        <v>71</v>
      </c>
    </row>
    <row r="378" spans="1:3" s="4" customFormat="1" ht="70" x14ac:dyDescent="0.35">
      <c r="A378" s="154" t="s">
        <v>21</v>
      </c>
      <c r="B378" s="154" t="s">
        <v>70</v>
      </c>
      <c r="C378" s="154" t="s">
        <v>71</v>
      </c>
    </row>
    <row r="379" spans="1:3" s="4" customFormat="1" ht="70" x14ac:dyDescent="0.35">
      <c r="A379" s="154" t="s">
        <v>21</v>
      </c>
      <c r="B379" s="154" t="s">
        <v>70</v>
      </c>
      <c r="C379" s="154" t="s">
        <v>71</v>
      </c>
    </row>
    <row r="380" spans="1:3" s="4" customFormat="1" ht="70" x14ac:dyDescent="0.35">
      <c r="A380" s="154" t="s">
        <v>21</v>
      </c>
      <c r="B380" s="154" t="s">
        <v>70</v>
      </c>
      <c r="C380" s="154" t="s">
        <v>71</v>
      </c>
    </row>
    <row r="381" spans="1:3" s="4" customFormat="1" ht="70" x14ac:dyDescent="0.35">
      <c r="A381" s="154" t="s">
        <v>21</v>
      </c>
      <c r="B381" s="154" t="s">
        <v>70</v>
      </c>
      <c r="C381" s="154" t="s">
        <v>71</v>
      </c>
    </row>
    <row r="382" spans="1:3" s="4" customFormat="1" ht="70" x14ac:dyDescent="0.35">
      <c r="A382" s="154" t="s">
        <v>21</v>
      </c>
      <c r="B382" s="154" t="s">
        <v>70</v>
      </c>
      <c r="C382" s="154" t="s">
        <v>71</v>
      </c>
    </row>
    <row r="383" spans="1:3" s="4" customFormat="1" ht="70" x14ac:dyDescent="0.35">
      <c r="A383" s="154" t="s">
        <v>21</v>
      </c>
      <c r="B383" s="154" t="s">
        <v>70</v>
      </c>
      <c r="C383" s="154" t="s">
        <v>71</v>
      </c>
    </row>
    <row r="384" spans="1:3" s="4" customFormat="1" ht="70" x14ac:dyDescent="0.35">
      <c r="A384" s="154" t="s">
        <v>21</v>
      </c>
      <c r="B384" s="154" t="s">
        <v>70</v>
      </c>
      <c r="C384" s="154" t="s">
        <v>71</v>
      </c>
    </row>
    <row r="385" spans="1:3" s="4" customFormat="1" ht="70" x14ac:dyDescent="0.35">
      <c r="A385" s="154" t="s">
        <v>21</v>
      </c>
      <c r="B385" s="154" t="s">
        <v>70</v>
      </c>
      <c r="C385" s="154" t="s">
        <v>71</v>
      </c>
    </row>
    <row r="386" spans="1:3" s="4" customFormat="1" ht="70" x14ac:dyDescent="0.35">
      <c r="A386" s="154" t="s">
        <v>21</v>
      </c>
      <c r="B386" s="154" t="s">
        <v>70</v>
      </c>
      <c r="C386" s="154" t="s">
        <v>71</v>
      </c>
    </row>
    <row r="387" spans="1:3" s="4" customFormat="1" ht="70" x14ac:dyDescent="0.35">
      <c r="A387" s="154" t="s">
        <v>21</v>
      </c>
      <c r="B387" s="154" t="s">
        <v>70</v>
      </c>
      <c r="C387" s="154" t="s">
        <v>71</v>
      </c>
    </row>
    <row r="388" spans="1:3" s="4" customFormat="1" ht="70" x14ac:dyDescent="0.35">
      <c r="A388" s="154" t="s">
        <v>21</v>
      </c>
      <c r="B388" s="154" t="s">
        <v>70</v>
      </c>
      <c r="C388" s="154" t="s">
        <v>71</v>
      </c>
    </row>
    <row r="389" spans="1:3" s="4" customFormat="1" ht="70" x14ac:dyDescent="0.35">
      <c r="A389" s="154" t="s">
        <v>21</v>
      </c>
      <c r="B389" s="154" t="s">
        <v>70</v>
      </c>
      <c r="C389" s="154" t="s">
        <v>71</v>
      </c>
    </row>
    <row r="390" spans="1:3" s="4" customFormat="1" ht="70" x14ac:dyDescent="0.35">
      <c r="A390" s="154" t="s">
        <v>21</v>
      </c>
      <c r="B390" s="154" t="s">
        <v>70</v>
      </c>
      <c r="C390" s="154" t="s">
        <v>71</v>
      </c>
    </row>
    <row r="391" spans="1:3" s="4" customFormat="1" ht="70" x14ac:dyDescent="0.35">
      <c r="A391" s="154" t="s">
        <v>21</v>
      </c>
      <c r="B391" s="154" t="s">
        <v>70</v>
      </c>
      <c r="C391" s="154" t="s">
        <v>71</v>
      </c>
    </row>
    <row r="392" spans="1:3" s="4" customFormat="1" ht="70" x14ac:dyDescent="0.35">
      <c r="A392" s="154" t="s">
        <v>21</v>
      </c>
      <c r="B392" s="154" t="s">
        <v>70</v>
      </c>
      <c r="C392" s="154" t="s">
        <v>71</v>
      </c>
    </row>
    <row r="393" spans="1:3" s="4" customFormat="1" ht="70" x14ac:dyDescent="0.35">
      <c r="A393" s="154" t="s">
        <v>21</v>
      </c>
      <c r="B393" s="154" t="s">
        <v>70</v>
      </c>
      <c r="C393" s="154" t="s">
        <v>71</v>
      </c>
    </row>
    <row r="394" spans="1:3" s="4" customFormat="1" ht="70" x14ac:dyDescent="0.35">
      <c r="A394" s="154" t="s">
        <v>21</v>
      </c>
      <c r="B394" s="154" t="s">
        <v>70</v>
      </c>
      <c r="C394" s="154" t="s">
        <v>71</v>
      </c>
    </row>
    <row r="395" spans="1:3" s="4" customFormat="1" ht="70" x14ac:dyDescent="0.35">
      <c r="A395" s="154" t="s">
        <v>21</v>
      </c>
      <c r="B395" s="154" t="s">
        <v>70</v>
      </c>
      <c r="C395" s="154" t="s">
        <v>71</v>
      </c>
    </row>
    <row r="396" spans="1:3" s="4" customFormat="1" ht="70" x14ac:dyDescent="0.35">
      <c r="A396" s="154" t="s">
        <v>21</v>
      </c>
      <c r="B396" s="154" t="s">
        <v>70</v>
      </c>
      <c r="C396" s="154" t="s">
        <v>71</v>
      </c>
    </row>
    <row r="397" spans="1:3" s="4" customFormat="1" ht="70" x14ac:dyDescent="0.35">
      <c r="A397" s="154" t="s">
        <v>21</v>
      </c>
      <c r="B397" s="154" t="s">
        <v>70</v>
      </c>
      <c r="C397" s="154" t="s">
        <v>71</v>
      </c>
    </row>
    <row r="398" spans="1:3" s="4" customFormat="1" ht="70" x14ac:dyDescent="0.35">
      <c r="A398" s="154" t="s">
        <v>21</v>
      </c>
      <c r="B398" s="154" t="s">
        <v>70</v>
      </c>
      <c r="C398" s="154" t="s">
        <v>71</v>
      </c>
    </row>
    <row r="399" spans="1:3" s="4" customFormat="1" ht="70" x14ac:dyDescent="0.35">
      <c r="A399" s="154" t="s">
        <v>21</v>
      </c>
      <c r="B399" s="154" t="s">
        <v>70</v>
      </c>
      <c r="C399" s="154" t="s">
        <v>71</v>
      </c>
    </row>
    <row r="400" spans="1:3" s="4" customFormat="1" ht="70" x14ac:dyDescent="0.35">
      <c r="A400" s="154" t="s">
        <v>21</v>
      </c>
      <c r="B400" s="154" t="s">
        <v>70</v>
      </c>
      <c r="C400" s="154" t="s">
        <v>71</v>
      </c>
    </row>
    <row r="401" spans="1:3" s="4" customFormat="1" ht="70" x14ac:dyDescent="0.35">
      <c r="A401" s="154" t="s">
        <v>21</v>
      </c>
      <c r="B401" s="154" t="s">
        <v>70</v>
      </c>
      <c r="C401" s="154" t="s">
        <v>71</v>
      </c>
    </row>
    <row r="402" spans="1:3" s="4" customFormat="1" ht="70" x14ac:dyDescent="0.35">
      <c r="A402" s="154" t="s">
        <v>21</v>
      </c>
      <c r="B402" s="154" t="s">
        <v>70</v>
      </c>
      <c r="C402" s="154" t="s">
        <v>71</v>
      </c>
    </row>
    <row r="403" spans="1:3" s="4" customFormat="1" ht="70" x14ac:dyDescent="0.35">
      <c r="A403" s="154" t="s">
        <v>21</v>
      </c>
      <c r="B403" s="154" t="s">
        <v>70</v>
      </c>
      <c r="C403" s="154" t="s">
        <v>71</v>
      </c>
    </row>
    <row r="404" spans="1:3" s="4" customFormat="1" ht="70" x14ac:dyDescent="0.35">
      <c r="A404" s="154" t="s">
        <v>21</v>
      </c>
      <c r="B404" s="154" t="s">
        <v>70</v>
      </c>
      <c r="C404" s="154" t="s">
        <v>71</v>
      </c>
    </row>
    <row r="405" spans="1:3" s="4" customFormat="1" ht="70" x14ac:dyDescent="0.35">
      <c r="A405" s="154" t="s">
        <v>21</v>
      </c>
      <c r="B405" s="154" t="s">
        <v>70</v>
      </c>
      <c r="C405" s="154" t="s">
        <v>71</v>
      </c>
    </row>
    <row r="406" spans="1:3" s="4" customFormat="1" ht="70" x14ac:dyDescent="0.35">
      <c r="A406" s="154" t="s">
        <v>21</v>
      </c>
      <c r="B406" s="154" t="s">
        <v>70</v>
      </c>
      <c r="C406" s="154" t="s">
        <v>71</v>
      </c>
    </row>
    <row r="407" spans="1:3" s="4" customFormat="1" ht="70" x14ac:dyDescent="0.35">
      <c r="A407" s="154" t="s">
        <v>21</v>
      </c>
      <c r="B407" s="154" t="s">
        <v>70</v>
      </c>
      <c r="C407" s="154" t="s">
        <v>71</v>
      </c>
    </row>
    <row r="408" spans="1:3" s="4" customFormat="1" ht="70" x14ac:dyDescent="0.35">
      <c r="A408" s="154" t="s">
        <v>21</v>
      </c>
      <c r="B408" s="154" t="s">
        <v>70</v>
      </c>
      <c r="C408" s="154" t="s">
        <v>71</v>
      </c>
    </row>
    <row r="409" spans="1:3" s="4" customFormat="1" ht="70" x14ac:dyDescent="0.35">
      <c r="A409" s="154" t="s">
        <v>21</v>
      </c>
      <c r="B409" s="154" t="s">
        <v>70</v>
      </c>
      <c r="C409" s="154" t="s">
        <v>71</v>
      </c>
    </row>
    <row r="410" spans="1:3" s="4" customFormat="1" ht="70" x14ac:dyDescent="0.35">
      <c r="A410" s="154" t="s">
        <v>21</v>
      </c>
      <c r="B410" s="154" t="s">
        <v>70</v>
      </c>
      <c r="C410" s="154" t="s">
        <v>71</v>
      </c>
    </row>
    <row r="411" spans="1:3" s="4" customFormat="1" ht="70" x14ac:dyDescent="0.35">
      <c r="A411" s="154" t="s">
        <v>21</v>
      </c>
      <c r="B411" s="154" t="s">
        <v>70</v>
      </c>
      <c r="C411" s="154" t="s">
        <v>71</v>
      </c>
    </row>
    <row r="412" spans="1:3" s="4" customFormat="1" ht="70" x14ac:dyDescent="0.35">
      <c r="A412" s="154" t="s">
        <v>21</v>
      </c>
      <c r="B412" s="154" t="s">
        <v>70</v>
      </c>
      <c r="C412" s="154" t="s">
        <v>71</v>
      </c>
    </row>
    <row r="413" spans="1:3" s="4" customFormat="1" ht="70" x14ac:dyDescent="0.35">
      <c r="A413" s="154" t="s">
        <v>21</v>
      </c>
      <c r="B413" s="154" t="s">
        <v>70</v>
      </c>
      <c r="C413" s="154" t="s">
        <v>71</v>
      </c>
    </row>
    <row r="414" spans="1:3" s="4" customFormat="1" ht="70" x14ac:dyDescent="0.35">
      <c r="A414" s="154" t="s">
        <v>21</v>
      </c>
      <c r="B414" s="154" t="s">
        <v>70</v>
      </c>
      <c r="C414" s="154" t="s">
        <v>71</v>
      </c>
    </row>
    <row r="415" spans="1:3" s="4" customFormat="1" ht="70" x14ac:dyDescent="0.35">
      <c r="A415" s="154" t="s">
        <v>21</v>
      </c>
      <c r="B415" s="154" t="s">
        <v>70</v>
      </c>
      <c r="C415" s="154" t="s">
        <v>71</v>
      </c>
    </row>
    <row r="416" spans="1:3" s="4" customFormat="1" ht="70" x14ac:dyDescent="0.35">
      <c r="A416" s="154" t="s">
        <v>21</v>
      </c>
      <c r="B416" s="154" t="s">
        <v>70</v>
      </c>
      <c r="C416" s="154" t="s">
        <v>71</v>
      </c>
    </row>
    <row r="417" spans="1:3" s="4" customFormat="1" ht="70" x14ac:dyDescent="0.35">
      <c r="A417" s="154" t="s">
        <v>21</v>
      </c>
      <c r="B417" s="154" t="s">
        <v>70</v>
      </c>
      <c r="C417" s="154" t="s">
        <v>71</v>
      </c>
    </row>
    <row r="418" spans="1:3" s="4" customFormat="1" ht="70" x14ac:dyDescent="0.35">
      <c r="A418" s="154" t="s">
        <v>21</v>
      </c>
      <c r="B418" s="154" t="s">
        <v>70</v>
      </c>
      <c r="C418" s="154" t="s">
        <v>71</v>
      </c>
    </row>
    <row r="419" spans="1:3" s="4" customFormat="1" ht="70" x14ac:dyDescent="0.35">
      <c r="A419" s="154" t="s">
        <v>21</v>
      </c>
      <c r="B419" s="154" t="s">
        <v>70</v>
      </c>
      <c r="C419" s="154" t="s">
        <v>71</v>
      </c>
    </row>
    <row r="420" spans="1:3" s="4" customFormat="1" ht="70" x14ac:dyDescent="0.35">
      <c r="A420" s="154" t="s">
        <v>21</v>
      </c>
      <c r="B420" s="154" t="s">
        <v>70</v>
      </c>
      <c r="C420" s="154" t="s">
        <v>71</v>
      </c>
    </row>
    <row r="421" spans="1:3" s="4" customFormat="1" ht="70" x14ac:dyDescent="0.35">
      <c r="A421" s="154" t="s">
        <v>21</v>
      </c>
      <c r="B421" s="154" t="s">
        <v>70</v>
      </c>
      <c r="C421" s="154" t="s">
        <v>71</v>
      </c>
    </row>
    <row r="422" spans="1:3" s="4" customFormat="1" ht="70" x14ac:dyDescent="0.35">
      <c r="A422" s="154" t="s">
        <v>21</v>
      </c>
      <c r="B422" s="154" t="s">
        <v>70</v>
      </c>
      <c r="C422" s="154" t="s">
        <v>71</v>
      </c>
    </row>
    <row r="423" spans="1:3" s="4" customFormat="1" ht="70" x14ac:dyDescent="0.35">
      <c r="A423" s="154" t="s">
        <v>21</v>
      </c>
      <c r="B423" s="154" t="s">
        <v>70</v>
      </c>
      <c r="C423" s="154" t="s">
        <v>71</v>
      </c>
    </row>
    <row r="424" spans="1:3" s="4" customFormat="1" ht="70" x14ac:dyDescent="0.35">
      <c r="A424" s="154" t="s">
        <v>21</v>
      </c>
      <c r="B424" s="154" t="s">
        <v>70</v>
      </c>
      <c r="C424" s="154" t="s">
        <v>73</v>
      </c>
    </row>
    <row r="425" spans="1:3" s="4" customFormat="1" ht="70" x14ac:dyDescent="0.35">
      <c r="A425" s="154" t="s">
        <v>21</v>
      </c>
      <c r="B425" s="154" t="s">
        <v>70</v>
      </c>
      <c r="C425" s="154" t="s">
        <v>73</v>
      </c>
    </row>
    <row r="426" spans="1:3" s="4" customFormat="1" ht="70" x14ac:dyDescent="0.35">
      <c r="A426" s="154" t="s">
        <v>21</v>
      </c>
      <c r="B426" s="154" t="s">
        <v>70</v>
      </c>
      <c r="C426" s="154" t="s">
        <v>73</v>
      </c>
    </row>
    <row r="427" spans="1:3" s="4" customFormat="1" ht="70" x14ac:dyDescent="0.35">
      <c r="A427" s="154" t="s">
        <v>21</v>
      </c>
      <c r="B427" s="154" t="s">
        <v>70</v>
      </c>
      <c r="C427" s="154" t="s">
        <v>73</v>
      </c>
    </row>
    <row r="428" spans="1:3" s="4" customFormat="1" ht="70" x14ac:dyDescent="0.35">
      <c r="A428" s="154" t="s">
        <v>21</v>
      </c>
      <c r="B428" s="154" t="s">
        <v>70</v>
      </c>
      <c r="C428" s="154" t="s">
        <v>73</v>
      </c>
    </row>
    <row r="429" spans="1:3" s="4" customFormat="1" ht="70" x14ac:dyDescent="0.35">
      <c r="A429" s="154" t="s">
        <v>21</v>
      </c>
      <c r="B429" s="154" t="s">
        <v>70</v>
      </c>
      <c r="C429" s="154" t="s">
        <v>73</v>
      </c>
    </row>
    <row r="430" spans="1:3" s="4" customFormat="1" ht="70" x14ac:dyDescent="0.35">
      <c r="A430" s="154" t="s">
        <v>21</v>
      </c>
      <c r="B430" s="154" t="s">
        <v>70</v>
      </c>
      <c r="C430" s="154" t="s">
        <v>73</v>
      </c>
    </row>
    <row r="431" spans="1:3" s="4" customFormat="1" ht="70" x14ac:dyDescent="0.35">
      <c r="A431" s="154" t="s">
        <v>21</v>
      </c>
      <c r="B431" s="154" t="s">
        <v>70</v>
      </c>
      <c r="C431" s="154" t="s">
        <v>73</v>
      </c>
    </row>
    <row r="432" spans="1:3" s="4" customFormat="1" ht="70" x14ac:dyDescent="0.35">
      <c r="A432" s="154" t="s">
        <v>21</v>
      </c>
      <c r="B432" s="154" t="s">
        <v>70</v>
      </c>
      <c r="C432" s="154" t="s">
        <v>73</v>
      </c>
    </row>
    <row r="433" spans="1:3" s="4" customFormat="1" ht="70" x14ac:dyDescent="0.35">
      <c r="A433" s="154" t="s">
        <v>21</v>
      </c>
      <c r="B433" s="154" t="s">
        <v>70</v>
      </c>
      <c r="C433" s="154" t="s">
        <v>73</v>
      </c>
    </row>
    <row r="434" spans="1:3" s="4" customFormat="1" ht="70" x14ac:dyDescent="0.35">
      <c r="A434" s="154" t="s">
        <v>21</v>
      </c>
      <c r="B434" s="154" t="s">
        <v>70</v>
      </c>
      <c r="C434" s="154" t="s">
        <v>73</v>
      </c>
    </row>
    <row r="435" spans="1:3" s="4" customFormat="1" ht="70" x14ac:dyDescent="0.35">
      <c r="A435" s="154" t="s">
        <v>21</v>
      </c>
      <c r="B435" s="154" t="s">
        <v>70</v>
      </c>
      <c r="C435" s="154" t="s">
        <v>73</v>
      </c>
    </row>
    <row r="436" spans="1:3" s="4" customFormat="1" ht="70" x14ac:dyDescent="0.35">
      <c r="A436" s="154" t="s">
        <v>21</v>
      </c>
      <c r="B436" s="154" t="s">
        <v>70</v>
      </c>
      <c r="C436" s="154" t="s">
        <v>73</v>
      </c>
    </row>
    <row r="437" spans="1:3" s="4" customFormat="1" ht="70" x14ac:dyDescent="0.35">
      <c r="A437" s="154" t="s">
        <v>21</v>
      </c>
      <c r="B437" s="154" t="s">
        <v>70</v>
      </c>
      <c r="C437" s="154" t="s">
        <v>73</v>
      </c>
    </row>
    <row r="438" spans="1:3" s="4" customFormat="1" ht="70" x14ac:dyDescent="0.35">
      <c r="A438" s="154" t="s">
        <v>21</v>
      </c>
      <c r="B438" s="154" t="s">
        <v>70</v>
      </c>
      <c r="C438" s="154" t="s">
        <v>73</v>
      </c>
    </row>
    <row r="439" spans="1:3" s="4" customFormat="1" ht="70" x14ac:dyDescent="0.35">
      <c r="A439" s="154" t="s">
        <v>21</v>
      </c>
      <c r="B439" s="154" t="s">
        <v>70</v>
      </c>
      <c r="C439" s="154" t="s">
        <v>73</v>
      </c>
    </row>
    <row r="440" spans="1:3" s="4" customFormat="1" ht="70" x14ac:dyDescent="0.35">
      <c r="A440" s="154" t="s">
        <v>21</v>
      </c>
      <c r="B440" s="154" t="s">
        <v>70</v>
      </c>
      <c r="C440" s="154" t="s">
        <v>73</v>
      </c>
    </row>
    <row r="441" spans="1:3" s="4" customFormat="1" ht="70" x14ac:dyDescent="0.35">
      <c r="A441" s="154" t="s">
        <v>21</v>
      </c>
      <c r="B441" s="154" t="s">
        <v>70</v>
      </c>
      <c r="C441" s="154" t="s">
        <v>73</v>
      </c>
    </row>
    <row r="442" spans="1:3" s="4" customFormat="1" ht="70" x14ac:dyDescent="0.35">
      <c r="A442" s="154" t="s">
        <v>21</v>
      </c>
      <c r="B442" s="154" t="s">
        <v>70</v>
      </c>
      <c r="C442" s="154" t="s">
        <v>73</v>
      </c>
    </row>
    <row r="443" spans="1:3" s="4" customFormat="1" ht="70" x14ac:dyDescent="0.35">
      <c r="A443" s="154" t="s">
        <v>21</v>
      </c>
      <c r="B443" s="154" t="s">
        <v>70</v>
      </c>
      <c r="C443" s="154" t="s">
        <v>73</v>
      </c>
    </row>
    <row r="444" spans="1:3" s="4" customFormat="1" ht="70" x14ac:dyDescent="0.35">
      <c r="A444" s="154" t="s">
        <v>21</v>
      </c>
      <c r="B444" s="154" t="s">
        <v>70</v>
      </c>
      <c r="C444" s="154" t="s">
        <v>73</v>
      </c>
    </row>
    <row r="445" spans="1:3" s="4" customFormat="1" ht="70" x14ac:dyDescent="0.35">
      <c r="A445" s="154" t="s">
        <v>21</v>
      </c>
      <c r="B445" s="154" t="s">
        <v>70</v>
      </c>
      <c r="C445" s="154" t="s">
        <v>73</v>
      </c>
    </row>
    <row r="446" spans="1:3" s="4" customFormat="1" ht="70" x14ac:dyDescent="0.35">
      <c r="A446" s="154" t="s">
        <v>21</v>
      </c>
      <c r="B446" s="154" t="s">
        <v>70</v>
      </c>
      <c r="C446" s="154" t="s">
        <v>73</v>
      </c>
    </row>
    <row r="447" spans="1:3" s="4" customFormat="1" ht="70" x14ac:dyDescent="0.35">
      <c r="A447" s="154" t="s">
        <v>21</v>
      </c>
      <c r="B447" s="154" t="s">
        <v>70</v>
      </c>
      <c r="C447" s="154" t="s">
        <v>73</v>
      </c>
    </row>
    <row r="448" spans="1:3" s="4" customFormat="1" ht="56" x14ac:dyDescent="0.35">
      <c r="A448" s="154" t="s">
        <v>21</v>
      </c>
      <c r="B448" s="154" t="s">
        <v>70</v>
      </c>
      <c r="C448" s="154" t="s">
        <v>75</v>
      </c>
    </row>
    <row r="449" spans="1:7" s="4" customFormat="1" ht="56" x14ac:dyDescent="0.35">
      <c r="A449" s="154" t="s">
        <v>21</v>
      </c>
      <c r="B449" s="154" t="s">
        <v>70</v>
      </c>
      <c r="C449" s="154" t="s">
        <v>75</v>
      </c>
    </row>
    <row r="450" spans="1:7" s="4" customFormat="1" ht="56" x14ac:dyDescent="0.35">
      <c r="A450" s="154" t="s">
        <v>21</v>
      </c>
      <c r="B450" s="154" t="s">
        <v>70</v>
      </c>
      <c r="C450" s="154" t="s">
        <v>75</v>
      </c>
    </row>
    <row r="451" spans="1:7" s="4" customFormat="1" ht="56" x14ac:dyDescent="0.35">
      <c r="A451" s="154" t="s">
        <v>21</v>
      </c>
      <c r="B451" s="154" t="s">
        <v>70</v>
      </c>
      <c r="C451" s="154" t="s">
        <v>75</v>
      </c>
    </row>
    <row r="452" spans="1:7" s="4" customFormat="1" ht="56" x14ac:dyDescent="0.35">
      <c r="A452" s="154" t="s">
        <v>21</v>
      </c>
      <c r="B452" s="154" t="s">
        <v>70</v>
      </c>
      <c r="C452" s="154" t="s">
        <v>75</v>
      </c>
    </row>
    <row r="453" spans="1:7" s="4" customFormat="1" ht="56" x14ac:dyDescent="0.35">
      <c r="A453" s="154" t="s">
        <v>21</v>
      </c>
      <c r="B453" s="154" t="s">
        <v>70</v>
      </c>
      <c r="C453" s="154" t="s">
        <v>75</v>
      </c>
    </row>
    <row r="454" spans="1:7" s="4" customFormat="1" ht="56" x14ac:dyDescent="0.35">
      <c r="A454" s="154" t="s">
        <v>21</v>
      </c>
      <c r="B454" s="154" t="s">
        <v>70</v>
      </c>
      <c r="C454" s="154" t="s">
        <v>75</v>
      </c>
    </row>
    <row r="455" spans="1:7" s="4" customFormat="1" ht="56" x14ac:dyDescent="0.35">
      <c r="A455" s="154" t="s">
        <v>21</v>
      </c>
      <c r="B455" s="154" t="s">
        <v>70</v>
      </c>
      <c r="C455" s="154" t="s">
        <v>75</v>
      </c>
    </row>
    <row r="456" spans="1:7" s="4" customFormat="1" ht="56" x14ac:dyDescent="0.35">
      <c r="A456" s="154" t="s">
        <v>21</v>
      </c>
      <c r="B456" s="154" t="s">
        <v>70</v>
      </c>
      <c r="C456" s="154" t="s">
        <v>75</v>
      </c>
    </row>
    <row r="457" spans="1:7" ht="56" x14ac:dyDescent="0.35">
      <c r="A457" s="154" t="s">
        <v>21</v>
      </c>
      <c r="B457" s="154" t="s">
        <v>70</v>
      </c>
      <c r="C457" s="154" t="s">
        <v>75</v>
      </c>
      <c r="D457" s="1"/>
      <c r="E457" s="1"/>
      <c r="F457" s="1"/>
      <c r="G457" s="1"/>
    </row>
    <row r="458" spans="1:7" ht="56" x14ac:dyDescent="0.35">
      <c r="A458" s="154" t="s">
        <v>21</v>
      </c>
      <c r="B458" s="154" t="s">
        <v>70</v>
      </c>
      <c r="C458" s="154" t="s">
        <v>75</v>
      </c>
      <c r="D458" s="1"/>
      <c r="E458" s="1"/>
      <c r="F458" s="1"/>
      <c r="G458" s="1"/>
    </row>
    <row r="459" spans="1:7" ht="56" x14ac:dyDescent="0.35">
      <c r="A459" s="154" t="s">
        <v>21</v>
      </c>
      <c r="B459" s="154" t="s">
        <v>70</v>
      </c>
      <c r="C459" s="154" t="s">
        <v>75</v>
      </c>
      <c r="D459" s="1"/>
      <c r="E459" s="1"/>
      <c r="F459" s="1"/>
      <c r="G459" s="1"/>
    </row>
    <row r="460" spans="1:7" ht="56" x14ac:dyDescent="0.35">
      <c r="A460" s="154" t="s">
        <v>21</v>
      </c>
      <c r="B460" s="154" t="s">
        <v>70</v>
      </c>
      <c r="C460" s="154" t="s">
        <v>75</v>
      </c>
      <c r="D460" s="1"/>
      <c r="E460" s="1"/>
      <c r="F460" s="1"/>
      <c r="G460" s="1"/>
    </row>
    <row r="461" spans="1:7" ht="56" x14ac:dyDescent="0.35">
      <c r="A461" s="154" t="s">
        <v>21</v>
      </c>
      <c r="B461" s="154" t="s">
        <v>70</v>
      </c>
      <c r="C461" s="154" t="s">
        <v>75</v>
      </c>
      <c r="D461" s="1"/>
      <c r="E461" s="1"/>
      <c r="F461" s="1"/>
      <c r="G461" s="1"/>
    </row>
    <row r="462" spans="1:7" ht="56" x14ac:dyDescent="0.35">
      <c r="A462" s="154" t="s">
        <v>21</v>
      </c>
      <c r="B462" s="154" t="s">
        <v>70</v>
      </c>
      <c r="C462" s="154" t="s">
        <v>75</v>
      </c>
      <c r="D462" s="1"/>
      <c r="E462" s="1"/>
      <c r="F462" s="1"/>
      <c r="G462" s="1"/>
    </row>
    <row r="463" spans="1:7" ht="56" x14ac:dyDescent="0.35">
      <c r="A463" s="154" t="s">
        <v>21</v>
      </c>
      <c r="B463" s="154" t="s">
        <v>70</v>
      </c>
      <c r="C463" s="154" t="s">
        <v>75</v>
      </c>
      <c r="D463" s="1"/>
      <c r="E463" s="1"/>
      <c r="F463" s="1"/>
      <c r="G463" s="1"/>
    </row>
    <row r="464" spans="1:7" ht="56" x14ac:dyDescent="0.35">
      <c r="A464" s="154" t="s">
        <v>21</v>
      </c>
      <c r="B464" s="154" t="s">
        <v>70</v>
      </c>
      <c r="C464" s="154" t="s">
        <v>75</v>
      </c>
      <c r="D464" s="1"/>
      <c r="E464" s="1"/>
      <c r="F464" s="1"/>
      <c r="G464" s="1"/>
    </row>
    <row r="465" spans="1:7" ht="56" x14ac:dyDescent="0.35">
      <c r="A465" s="154" t="s">
        <v>21</v>
      </c>
      <c r="B465" s="154" t="s">
        <v>70</v>
      </c>
      <c r="C465" s="154" t="s">
        <v>75</v>
      </c>
      <c r="D465" s="1"/>
      <c r="E465" s="1"/>
      <c r="F465" s="1"/>
      <c r="G465" s="1"/>
    </row>
    <row r="466" spans="1:7" ht="56" x14ac:dyDescent="0.35">
      <c r="A466" s="154" t="s">
        <v>21</v>
      </c>
      <c r="B466" s="154" t="s">
        <v>70</v>
      </c>
      <c r="C466" s="154" t="s">
        <v>75</v>
      </c>
      <c r="D466" s="1"/>
      <c r="E466" s="1"/>
      <c r="F466" s="1"/>
      <c r="G466" s="1"/>
    </row>
    <row r="467" spans="1:7" ht="56" x14ac:dyDescent="0.35">
      <c r="A467" s="154" t="s">
        <v>21</v>
      </c>
      <c r="B467" s="154" t="s">
        <v>70</v>
      </c>
      <c r="C467" s="154" t="s">
        <v>75</v>
      </c>
      <c r="D467" s="1"/>
      <c r="E467" s="1"/>
      <c r="F467" s="1"/>
      <c r="G467" s="1"/>
    </row>
    <row r="468" spans="1:7" ht="56" x14ac:dyDescent="0.35">
      <c r="A468" s="154" t="s">
        <v>21</v>
      </c>
      <c r="B468" s="154" t="s">
        <v>70</v>
      </c>
      <c r="C468" s="154" t="s">
        <v>75</v>
      </c>
      <c r="D468" s="1"/>
      <c r="E468" s="1"/>
      <c r="F468" s="1"/>
      <c r="G468" s="1"/>
    </row>
    <row r="469" spans="1:7" ht="56" x14ac:dyDescent="0.35">
      <c r="A469" s="154" t="s">
        <v>21</v>
      </c>
      <c r="B469" s="154" t="s">
        <v>70</v>
      </c>
      <c r="C469" s="154" t="s">
        <v>75</v>
      </c>
      <c r="D469" s="1"/>
      <c r="E469" s="1"/>
      <c r="F469" s="1"/>
      <c r="G469" s="1"/>
    </row>
    <row r="470" spans="1:7" ht="56" x14ac:dyDescent="0.35">
      <c r="A470" s="154" t="s">
        <v>21</v>
      </c>
      <c r="B470" s="154" t="s">
        <v>70</v>
      </c>
      <c r="C470" s="154" t="s">
        <v>75</v>
      </c>
      <c r="D470" s="1"/>
      <c r="E470" s="1"/>
      <c r="F470" s="1"/>
      <c r="G470" s="1"/>
    </row>
    <row r="471" spans="1:7" ht="56" x14ac:dyDescent="0.35">
      <c r="A471" s="154" t="s">
        <v>21</v>
      </c>
      <c r="B471" s="154" t="s">
        <v>70</v>
      </c>
      <c r="C471" s="154" t="s">
        <v>75</v>
      </c>
      <c r="D471" s="1"/>
      <c r="E471" s="1"/>
      <c r="F471" s="1"/>
      <c r="G471" s="1"/>
    </row>
    <row r="472" spans="1:7" ht="56" x14ac:dyDescent="0.35">
      <c r="A472" s="154" t="s">
        <v>21</v>
      </c>
      <c r="B472" s="154" t="s">
        <v>70</v>
      </c>
      <c r="C472" s="154" t="s">
        <v>75</v>
      </c>
      <c r="D472" s="1"/>
      <c r="E472" s="1"/>
      <c r="F472" s="1"/>
      <c r="G472" s="1"/>
    </row>
    <row r="473" spans="1:7" ht="56" x14ac:dyDescent="0.35">
      <c r="A473" s="154" t="s">
        <v>21</v>
      </c>
      <c r="B473" s="154" t="s">
        <v>70</v>
      </c>
      <c r="C473" s="154" t="s">
        <v>75</v>
      </c>
      <c r="D473" s="1"/>
      <c r="E473" s="1"/>
      <c r="F473" s="1"/>
      <c r="G473" s="1"/>
    </row>
    <row r="474" spans="1:7" ht="56" x14ac:dyDescent="0.35">
      <c r="A474" s="154" t="s">
        <v>21</v>
      </c>
      <c r="B474" s="154" t="s">
        <v>70</v>
      </c>
      <c r="C474" s="154" t="s">
        <v>75</v>
      </c>
      <c r="D474" s="1"/>
      <c r="E474" s="1"/>
      <c r="F474" s="1"/>
      <c r="G474" s="1"/>
    </row>
    <row r="475" spans="1:7" ht="56" x14ac:dyDescent="0.35">
      <c r="A475" s="154" t="s">
        <v>21</v>
      </c>
      <c r="B475" s="154" t="s">
        <v>70</v>
      </c>
      <c r="C475" s="154" t="s">
        <v>75</v>
      </c>
      <c r="D475" s="1"/>
      <c r="E475" s="1"/>
      <c r="F475" s="1"/>
      <c r="G475" s="1"/>
    </row>
    <row r="476" spans="1:7" ht="56" x14ac:dyDescent="0.35">
      <c r="A476" s="154" t="s">
        <v>21</v>
      </c>
      <c r="B476" s="154" t="s">
        <v>70</v>
      </c>
      <c r="C476" s="154" t="s">
        <v>75</v>
      </c>
      <c r="D476" s="1"/>
      <c r="E476" s="1"/>
      <c r="F476" s="1"/>
      <c r="G476" s="1"/>
    </row>
    <row r="477" spans="1:7" ht="56" x14ac:dyDescent="0.35">
      <c r="A477" s="154" t="s">
        <v>21</v>
      </c>
      <c r="B477" s="154" t="s">
        <v>70</v>
      </c>
      <c r="C477" s="154" t="s">
        <v>75</v>
      </c>
      <c r="D477" s="1"/>
      <c r="E477" s="1"/>
      <c r="F477" s="1"/>
      <c r="G477" s="1"/>
    </row>
    <row r="478" spans="1:7" ht="56" x14ac:dyDescent="0.35">
      <c r="A478" s="154" t="s">
        <v>21</v>
      </c>
      <c r="B478" s="154" t="s">
        <v>70</v>
      </c>
      <c r="C478" s="154" t="s">
        <v>75</v>
      </c>
      <c r="D478" s="1"/>
      <c r="E478" s="1"/>
      <c r="F478" s="1"/>
      <c r="G478" s="1"/>
    </row>
    <row r="479" spans="1:7" ht="56" x14ac:dyDescent="0.35">
      <c r="A479" s="154" t="s">
        <v>21</v>
      </c>
      <c r="B479" s="154" t="s">
        <v>70</v>
      </c>
      <c r="C479" s="154" t="s">
        <v>75</v>
      </c>
      <c r="D479" s="1"/>
      <c r="E479" s="1"/>
      <c r="F479" s="1"/>
      <c r="G479" s="1"/>
    </row>
    <row r="480" spans="1:7" ht="56" x14ac:dyDescent="0.35">
      <c r="A480" s="154" t="s">
        <v>21</v>
      </c>
      <c r="B480" s="154" t="s">
        <v>70</v>
      </c>
      <c r="C480" s="154" t="s">
        <v>75</v>
      </c>
      <c r="D480" s="1"/>
      <c r="E480" s="1"/>
      <c r="F480" s="1"/>
      <c r="G480" s="1"/>
    </row>
    <row r="481" spans="1:7" ht="56" x14ac:dyDescent="0.35">
      <c r="A481" s="154" t="s">
        <v>21</v>
      </c>
      <c r="B481" s="154" t="s">
        <v>70</v>
      </c>
      <c r="C481" s="154" t="s">
        <v>75</v>
      </c>
      <c r="D481" s="1"/>
      <c r="E481" s="1"/>
      <c r="F481" s="1"/>
      <c r="G481" s="1"/>
    </row>
    <row r="482" spans="1:7" ht="56" x14ac:dyDescent="0.35">
      <c r="A482" s="154" t="s">
        <v>21</v>
      </c>
      <c r="B482" s="154" t="s">
        <v>70</v>
      </c>
      <c r="C482" s="154" t="s">
        <v>75</v>
      </c>
      <c r="D482" s="1"/>
      <c r="E482" s="1"/>
      <c r="F482" s="1"/>
      <c r="G482" s="1"/>
    </row>
    <row r="483" spans="1:7" ht="56" x14ac:dyDescent="0.35">
      <c r="A483" s="154" t="s">
        <v>21</v>
      </c>
      <c r="B483" s="154" t="s">
        <v>70</v>
      </c>
      <c r="C483" s="154" t="s">
        <v>75</v>
      </c>
      <c r="D483" s="1"/>
      <c r="E483" s="1"/>
      <c r="F483" s="1"/>
      <c r="G483" s="1"/>
    </row>
    <row r="484" spans="1:7" ht="56" x14ac:dyDescent="0.35">
      <c r="A484" s="154" t="s">
        <v>21</v>
      </c>
      <c r="B484" s="154" t="s">
        <v>70</v>
      </c>
      <c r="C484" s="154" t="s">
        <v>75</v>
      </c>
      <c r="D484" s="1"/>
      <c r="E484" s="1"/>
      <c r="F484" s="1"/>
      <c r="G484" s="1"/>
    </row>
    <row r="485" spans="1:7" ht="56" x14ac:dyDescent="0.35">
      <c r="A485" s="154" t="s">
        <v>21</v>
      </c>
      <c r="B485" s="154" t="s">
        <v>70</v>
      </c>
      <c r="C485" s="154" t="s">
        <v>75</v>
      </c>
      <c r="D485" s="1"/>
      <c r="E485" s="1"/>
      <c r="F485" s="1"/>
      <c r="G485" s="1"/>
    </row>
    <row r="486" spans="1:7" ht="56" x14ac:dyDescent="0.35">
      <c r="A486" s="154" t="s">
        <v>21</v>
      </c>
      <c r="B486" s="154" t="s">
        <v>70</v>
      </c>
      <c r="C486" s="154" t="s">
        <v>75</v>
      </c>
      <c r="D486" s="1"/>
      <c r="E486" s="1"/>
      <c r="F486" s="1"/>
      <c r="G486" s="1"/>
    </row>
    <row r="487" spans="1:7" ht="56" x14ac:dyDescent="0.35">
      <c r="A487" s="154" t="s">
        <v>21</v>
      </c>
      <c r="B487" s="154" t="s">
        <v>70</v>
      </c>
      <c r="C487" s="154" t="s">
        <v>77</v>
      </c>
      <c r="D487" s="1"/>
      <c r="E487" s="1"/>
      <c r="F487" s="1"/>
      <c r="G487" s="1"/>
    </row>
    <row r="488" spans="1:7" ht="56" x14ac:dyDescent="0.35">
      <c r="A488" s="154" t="s">
        <v>21</v>
      </c>
      <c r="B488" s="154" t="s">
        <v>70</v>
      </c>
      <c r="C488" s="154" t="s">
        <v>77</v>
      </c>
      <c r="D488" s="1"/>
      <c r="E488" s="1"/>
      <c r="F488" s="1"/>
      <c r="G488" s="1"/>
    </row>
    <row r="489" spans="1:7" ht="56" x14ac:dyDescent="0.35">
      <c r="A489" s="154" t="s">
        <v>21</v>
      </c>
      <c r="B489" s="154" t="s">
        <v>70</v>
      </c>
      <c r="C489" s="154" t="s">
        <v>77</v>
      </c>
      <c r="D489" s="1"/>
      <c r="E489" s="1"/>
      <c r="F489" s="1"/>
      <c r="G489" s="1"/>
    </row>
    <row r="490" spans="1:7" ht="56" x14ac:dyDescent="0.35">
      <c r="A490" s="154" t="s">
        <v>21</v>
      </c>
      <c r="B490" s="154" t="s">
        <v>70</v>
      </c>
      <c r="C490" s="154" t="s">
        <v>77</v>
      </c>
      <c r="D490" s="1"/>
      <c r="E490" s="1"/>
      <c r="F490" s="1"/>
      <c r="G490" s="1"/>
    </row>
    <row r="491" spans="1:7" ht="56" x14ac:dyDescent="0.35">
      <c r="A491" s="154" t="s">
        <v>21</v>
      </c>
      <c r="B491" s="154" t="s">
        <v>70</v>
      </c>
      <c r="C491" s="154" t="s">
        <v>77</v>
      </c>
      <c r="D491" s="1"/>
      <c r="E491" s="1"/>
      <c r="F491" s="1"/>
      <c r="G491" s="1"/>
    </row>
    <row r="492" spans="1:7" ht="56" x14ac:dyDescent="0.35">
      <c r="A492" s="154" t="s">
        <v>21</v>
      </c>
      <c r="B492" s="154" t="s">
        <v>70</v>
      </c>
      <c r="C492" s="154" t="s">
        <v>77</v>
      </c>
      <c r="D492" s="1"/>
      <c r="E492" s="1"/>
      <c r="F492" s="1"/>
      <c r="G492" s="1"/>
    </row>
    <row r="493" spans="1:7" ht="56" x14ac:dyDescent="0.35">
      <c r="A493" s="154" t="s">
        <v>21</v>
      </c>
      <c r="B493" s="154" t="s">
        <v>70</v>
      </c>
      <c r="C493" s="154" t="s">
        <v>77</v>
      </c>
      <c r="D493" s="1"/>
      <c r="E493" s="1"/>
      <c r="F493" s="1"/>
      <c r="G493" s="1"/>
    </row>
    <row r="494" spans="1:7" ht="56" x14ac:dyDescent="0.35">
      <c r="A494" s="154" t="s">
        <v>21</v>
      </c>
      <c r="B494" s="154" t="s">
        <v>70</v>
      </c>
      <c r="C494" s="154" t="s">
        <v>77</v>
      </c>
      <c r="D494" s="1"/>
      <c r="E494" s="1"/>
      <c r="F494" s="1"/>
      <c r="G494" s="1"/>
    </row>
    <row r="495" spans="1:7" ht="56" x14ac:dyDescent="0.35">
      <c r="A495" s="154" t="s">
        <v>21</v>
      </c>
      <c r="B495" s="154" t="s">
        <v>70</v>
      </c>
      <c r="C495" s="154" t="s">
        <v>77</v>
      </c>
      <c r="D495" s="1"/>
      <c r="E495" s="1"/>
      <c r="F495" s="1"/>
      <c r="G495" s="1"/>
    </row>
    <row r="496" spans="1:7" ht="56" x14ac:dyDescent="0.35">
      <c r="A496" s="154" t="s">
        <v>21</v>
      </c>
      <c r="B496" s="154" t="s">
        <v>70</v>
      </c>
      <c r="C496" s="154" t="s">
        <v>77</v>
      </c>
      <c r="D496" s="1"/>
      <c r="E496" s="1"/>
      <c r="F496" s="1"/>
      <c r="G496" s="1"/>
    </row>
    <row r="497" spans="1:7" ht="56" x14ac:dyDescent="0.35">
      <c r="A497" s="154" t="s">
        <v>21</v>
      </c>
      <c r="B497" s="154" t="s">
        <v>70</v>
      </c>
      <c r="C497" s="154" t="s">
        <v>77</v>
      </c>
      <c r="D497" s="1"/>
      <c r="E497" s="1"/>
      <c r="F497" s="1"/>
      <c r="G497" s="1"/>
    </row>
    <row r="498" spans="1:7" ht="56" x14ac:dyDescent="0.35">
      <c r="A498" s="154" t="s">
        <v>21</v>
      </c>
      <c r="B498" s="154" t="s">
        <v>70</v>
      </c>
      <c r="C498" s="154" t="s">
        <v>77</v>
      </c>
      <c r="D498" s="1"/>
      <c r="E498" s="1"/>
      <c r="F498" s="1"/>
      <c r="G498" s="1"/>
    </row>
    <row r="499" spans="1:7" ht="56" x14ac:dyDescent="0.35">
      <c r="A499" s="154" t="s">
        <v>21</v>
      </c>
      <c r="B499" s="154" t="s">
        <v>70</v>
      </c>
      <c r="C499" s="154" t="s">
        <v>77</v>
      </c>
      <c r="D499" s="1"/>
      <c r="E499" s="1"/>
      <c r="F499" s="1"/>
      <c r="G499" s="1"/>
    </row>
    <row r="500" spans="1:7" ht="56" x14ac:dyDescent="0.35">
      <c r="A500" s="154" t="s">
        <v>21</v>
      </c>
      <c r="B500" s="154" t="s">
        <v>70</v>
      </c>
      <c r="C500" s="154" t="s">
        <v>77</v>
      </c>
      <c r="D500" s="1"/>
      <c r="E500" s="1"/>
      <c r="F500" s="1"/>
      <c r="G500" s="1"/>
    </row>
    <row r="501" spans="1:7" ht="56" x14ac:dyDescent="0.35">
      <c r="A501" s="154" t="s">
        <v>21</v>
      </c>
      <c r="B501" s="154" t="s">
        <v>70</v>
      </c>
      <c r="C501" s="154" t="s">
        <v>77</v>
      </c>
      <c r="D501" s="1"/>
      <c r="E501" s="1"/>
      <c r="F501" s="1"/>
      <c r="G501" s="1"/>
    </row>
    <row r="502" spans="1:7" ht="56" x14ac:dyDescent="0.35">
      <c r="A502" s="154" t="s">
        <v>21</v>
      </c>
      <c r="B502" s="154" t="s">
        <v>70</v>
      </c>
      <c r="C502" s="154" t="s">
        <v>77</v>
      </c>
      <c r="D502" s="1"/>
      <c r="E502" s="1"/>
      <c r="F502" s="1"/>
      <c r="G502" s="1"/>
    </row>
    <row r="503" spans="1:7" ht="56" x14ac:dyDescent="0.35">
      <c r="A503" s="154" t="s">
        <v>21</v>
      </c>
      <c r="B503" s="154" t="s">
        <v>70</v>
      </c>
      <c r="C503" s="154" t="s">
        <v>77</v>
      </c>
      <c r="D503" s="1"/>
      <c r="E503" s="1"/>
      <c r="F503" s="1"/>
      <c r="G503" s="1"/>
    </row>
    <row r="504" spans="1:7" ht="56" x14ac:dyDescent="0.35">
      <c r="A504" s="154" t="s">
        <v>21</v>
      </c>
      <c r="B504" s="154" t="s">
        <v>70</v>
      </c>
      <c r="C504" s="154" t="s">
        <v>77</v>
      </c>
      <c r="D504" s="1"/>
      <c r="E504" s="1"/>
      <c r="F504" s="1"/>
      <c r="G504" s="1"/>
    </row>
    <row r="505" spans="1:7" ht="56" x14ac:dyDescent="0.35">
      <c r="A505" s="154" t="s">
        <v>21</v>
      </c>
      <c r="B505" s="154" t="s">
        <v>70</v>
      </c>
      <c r="C505" s="154" t="s">
        <v>77</v>
      </c>
      <c r="D505" s="1"/>
      <c r="E505" s="1"/>
      <c r="F505" s="1"/>
      <c r="G505" s="1"/>
    </row>
    <row r="506" spans="1:7" ht="56" x14ac:dyDescent="0.35">
      <c r="A506" s="154" t="s">
        <v>21</v>
      </c>
      <c r="B506" s="154" t="s">
        <v>70</v>
      </c>
      <c r="C506" s="154" t="s">
        <v>77</v>
      </c>
      <c r="D506" s="1"/>
      <c r="E506" s="1"/>
      <c r="F506" s="1"/>
      <c r="G506" s="1"/>
    </row>
    <row r="507" spans="1:7" ht="56" x14ac:dyDescent="0.35">
      <c r="A507" s="154" t="s">
        <v>21</v>
      </c>
      <c r="B507" s="154" t="s">
        <v>70</v>
      </c>
      <c r="C507" s="154" t="s">
        <v>77</v>
      </c>
      <c r="D507" s="1"/>
      <c r="E507" s="1"/>
      <c r="F507" s="1"/>
      <c r="G507" s="1"/>
    </row>
    <row r="508" spans="1:7" ht="56" x14ac:dyDescent="0.35">
      <c r="A508" s="154" t="s">
        <v>21</v>
      </c>
      <c r="B508" s="154" t="s">
        <v>70</v>
      </c>
      <c r="C508" s="154" t="s">
        <v>77</v>
      </c>
      <c r="D508" s="1"/>
      <c r="E508" s="1"/>
      <c r="F508" s="1"/>
      <c r="G508" s="1"/>
    </row>
    <row r="509" spans="1:7" ht="56" x14ac:dyDescent="0.35">
      <c r="A509" s="154" t="s">
        <v>21</v>
      </c>
      <c r="B509" s="154" t="s">
        <v>70</v>
      </c>
      <c r="C509" s="154" t="s">
        <v>77</v>
      </c>
      <c r="D509" s="1"/>
      <c r="E509" s="1"/>
      <c r="F509" s="1"/>
      <c r="G509" s="1"/>
    </row>
    <row r="510" spans="1:7" ht="56" x14ac:dyDescent="0.35">
      <c r="A510" s="154" t="s">
        <v>21</v>
      </c>
      <c r="B510" s="154" t="s">
        <v>70</v>
      </c>
      <c r="C510" s="154" t="s">
        <v>77</v>
      </c>
      <c r="D510" s="1"/>
      <c r="E510" s="1"/>
      <c r="F510" s="1"/>
      <c r="G510" s="1"/>
    </row>
    <row r="511" spans="1:7" ht="56" x14ac:dyDescent="0.35">
      <c r="A511" s="154" t="s">
        <v>21</v>
      </c>
      <c r="B511" s="154" t="s">
        <v>70</v>
      </c>
      <c r="C511" s="154" t="s">
        <v>77</v>
      </c>
      <c r="D511" s="1"/>
      <c r="E511" s="1"/>
      <c r="F511" s="1"/>
      <c r="G511" s="1"/>
    </row>
    <row r="512" spans="1:7" ht="56" x14ac:dyDescent="0.35">
      <c r="A512" s="154" t="s">
        <v>21</v>
      </c>
      <c r="B512" s="154" t="s">
        <v>70</v>
      </c>
      <c r="C512" s="154" t="s">
        <v>77</v>
      </c>
      <c r="D512" s="1"/>
      <c r="E512" s="1"/>
      <c r="F512" s="1"/>
      <c r="G512" s="1"/>
    </row>
    <row r="513" spans="1:7" ht="70" x14ac:dyDescent="0.35">
      <c r="A513" s="154" t="s">
        <v>21</v>
      </c>
      <c r="B513" s="154" t="s">
        <v>70</v>
      </c>
      <c r="C513" s="154" t="s">
        <v>79</v>
      </c>
      <c r="D513" s="1"/>
      <c r="E513" s="1"/>
      <c r="F513" s="1"/>
      <c r="G513" s="1"/>
    </row>
    <row r="514" spans="1:7" ht="70" x14ac:dyDescent="0.35">
      <c r="A514" s="154" t="s">
        <v>21</v>
      </c>
      <c r="B514" s="154" t="s">
        <v>70</v>
      </c>
      <c r="C514" s="154" t="s">
        <v>79</v>
      </c>
      <c r="D514" s="1"/>
      <c r="E514" s="1"/>
      <c r="F514" s="1"/>
      <c r="G514" s="1"/>
    </row>
    <row r="515" spans="1:7" ht="70" x14ac:dyDescent="0.35">
      <c r="A515" s="154" t="s">
        <v>21</v>
      </c>
      <c r="B515" s="154" t="s">
        <v>70</v>
      </c>
      <c r="C515" s="154" t="s">
        <v>79</v>
      </c>
      <c r="D515" s="1"/>
      <c r="E515" s="1"/>
      <c r="F515" s="1"/>
      <c r="G515" s="1"/>
    </row>
    <row r="516" spans="1:7" ht="70" x14ac:dyDescent="0.35">
      <c r="A516" s="154" t="s">
        <v>21</v>
      </c>
      <c r="B516" s="154" t="s">
        <v>70</v>
      </c>
      <c r="C516" s="154" t="s">
        <v>79</v>
      </c>
      <c r="D516" s="1"/>
      <c r="E516" s="1"/>
      <c r="F516" s="1"/>
      <c r="G516" s="1"/>
    </row>
    <row r="517" spans="1:7" ht="70" x14ac:dyDescent="0.35">
      <c r="A517" s="154" t="s">
        <v>21</v>
      </c>
      <c r="B517" s="154" t="s">
        <v>70</v>
      </c>
      <c r="C517" s="154" t="s">
        <v>79</v>
      </c>
      <c r="D517" s="1"/>
      <c r="E517" s="1"/>
      <c r="F517" s="1"/>
      <c r="G517" s="1"/>
    </row>
    <row r="518" spans="1:7" ht="70" x14ac:dyDescent="0.35">
      <c r="A518" s="154" t="s">
        <v>21</v>
      </c>
      <c r="B518" s="154" t="s">
        <v>70</v>
      </c>
      <c r="C518" s="154" t="s">
        <v>79</v>
      </c>
      <c r="D518" s="1"/>
      <c r="E518" s="1"/>
      <c r="F518" s="1"/>
      <c r="G518" s="1"/>
    </row>
    <row r="519" spans="1:7" ht="70" x14ac:dyDescent="0.35">
      <c r="A519" s="154" t="s">
        <v>21</v>
      </c>
      <c r="B519" s="154" t="s">
        <v>70</v>
      </c>
      <c r="C519" s="154" t="s">
        <v>79</v>
      </c>
      <c r="D519" s="1"/>
      <c r="E519" s="1"/>
      <c r="F519" s="1"/>
      <c r="G519" s="1"/>
    </row>
    <row r="520" spans="1:7" ht="28" x14ac:dyDescent="0.35">
      <c r="A520" s="154" t="s">
        <v>21</v>
      </c>
      <c r="B520" s="154" t="s">
        <v>80</v>
      </c>
      <c r="C520" s="154" t="s">
        <v>82</v>
      </c>
      <c r="D520" s="1"/>
      <c r="E520" s="1"/>
      <c r="F520" s="1"/>
      <c r="G520" s="1"/>
    </row>
    <row r="521" spans="1:7" ht="28" x14ac:dyDescent="0.35">
      <c r="A521" s="154" t="s">
        <v>21</v>
      </c>
      <c r="B521" s="154" t="s">
        <v>80</v>
      </c>
      <c r="C521" s="154" t="s">
        <v>82</v>
      </c>
      <c r="D521" s="1"/>
      <c r="E521" s="1"/>
      <c r="F521" s="1"/>
      <c r="G521" s="1"/>
    </row>
    <row r="522" spans="1:7" ht="28" x14ac:dyDescent="0.35">
      <c r="A522" s="154" t="s">
        <v>21</v>
      </c>
      <c r="B522" s="154" t="s">
        <v>80</v>
      </c>
      <c r="C522" s="154" t="s">
        <v>82</v>
      </c>
      <c r="D522" s="1"/>
      <c r="E522" s="1"/>
      <c r="F522" s="1"/>
      <c r="G522" s="1"/>
    </row>
    <row r="523" spans="1:7" ht="28" x14ac:dyDescent="0.35">
      <c r="A523" s="154" t="s">
        <v>21</v>
      </c>
      <c r="B523" s="154" t="s">
        <v>80</v>
      </c>
      <c r="C523" s="154" t="s">
        <v>82</v>
      </c>
      <c r="D523" s="1"/>
      <c r="E523" s="1"/>
      <c r="F523" s="1"/>
      <c r="G523" s="1"/>
    </row>
    <row r="524" spans="1:7" ht="28" x14ac:dyDescent="0.35">
      <c r="A524" s="154" t="s">
        <v>21</v>
      </c>
      <c r="B524" s="154" t="s">
        <v>80</v>
      </c>
      <c r="C524" s="154" t="s">
        <v>82</v>
      </c>
      <c r="D524" s="1"/>
      <c r="E524" s="1"/>
      <c r="F524" s="1"/>
      <c r="G524" s="1"/>
    </row>
    <row r="525" spans="1:7" ht="28" x14ac:dyDescent="0.35">
      <c r="A525" s="154" t="s">
        <v>21</v>
      </c>
      <c r="B525" s="154" t="s">
        <v>80</v>
      </c>
      <c r="C525" s="154" t="s">
        <v>82</v>
      </c>
      <c r="D525" s="1"/>
      <c r="E525" s="1"/>
      <c r="F525" s="1"/>
      <c r="G525" s="1"/>
    </row>
    <row r="526" spans="1:7" ht="28" x14ac:dyDescent="0.35">
      <c r="A526" s="154" t="s">
        <v>21</v>
      </c>
      <c r="B526" s="154" t="s">
        <v>80</v>
      </c>
      <c r="C526" s="154" t="s">
        <v>82</v>
      </c>
      <c r="D526" s="1"/>
      <c r="E526" s="1"/>
      <c r="F526" s="1"/>
      <c r="G526" s="1"/>
    </row>
    <row r="527" spans="1:7" ht="28" x14ac:dyDescent="0.35">
      <c r="A527" s="154" t="s">
        <v>21</v>
      </c>
      <c r="B527" s="154" t="s">
        <v>80</v>
      </c>
      <c r="C527" s="154" t="s">
        <v>82</v>
      </c>
      <c r="D527" s="1"/>
      <c r="E527" s="1"/>
      <c r="F527" s="1"/>
      <c r="G527" s="1"/>
    </row>
    <row r="528" spans="1:7" ht="28" x14ac:dyDescent="0.35">
      <c r="A528" s="154" t="s">
        <v>21</v>
      </c>
      <c r="B528" s="154" t="s">
        <v>80</v>
      </c>
      <c r="C528" s="154" t="s">
        <v>82</v>
      </c>
      <c r="D528" s="1"/>
      <c r="E528" s="1"/>
      <c r="F528" s="1"/>
      <c r="G528" s="1"/>
    </row>
    <row r="529" spans="1:7" ht="28" x14ac:dyDescent="0.35">
      <c r="A529" s="154" t="s">
        <v>21</v>
      </c>
      <c r="B529" s="154" t="s">
        <v>80</v>
      </c>
      <c r="C529" s="154" t="s">
        <v>82</v>
      </c>
      <c r="D529" s="1"/>
      <c r="E529" s="1"/>
      <c r="F529" s="1"/>
      <c r="G529" s="1"/>
    </row>
    <row r="530" spans="1:7" ht="28" x14ac:dyDescent="0.35">
      <c r="A530" s="154" t="s">
        <v>21</v>
      </c>
      <c r="B530" s="154" t="s">
        <v>80</v>
      </c>
      <c r="C530" s="154" t="s">
        <v>82</v>
      </c>
      <c r="D530" s="1"/>
      <c r="E530" s="1"/>
      <c r="F530" s="1"/>
      <c r="G530" s="1"/>
    </row>
    <row r="531" spans="1:7" ht="28" x14ac:dyDescent="0.35">
      <c r="A531" s="154" t="s">
        <v>21</v>
      </c>
      <c r="B531" s="154" t="s">
        <v>80</v>
      </c>
      <c r="C531" s="154" t="s">
        <v>82</v>
      </c>
      <c r="D531" s="1"/>
      <c r="E531" s="1"/>
      <c r="F531" s="1"/>
      <c r="G531" s="1"/>
    </row>
    <row r="532" spans="1:7" ht="28" x14ac:dyDescent="0.35">
      <c r="A532" s="154" t="s">
        <v>21</v>
      </c>
      <c r="B532" s="154" t="s">
        <v>80</v>
      </c>
      <c r="C532" s="154" t="s">
        <v>82</v>
      </c>
      <c r="D532" s="1"/>
      <c r="E532" s="1"/>
      <c r="F532" s="1"/>
      <c r="G532" s="1"/>
    </row>
    <row r="533" spans="1:7" ht="28" x14ac:dyDescent="0.35">
      <c r="A533" s="154" t="s">
        <v>21</v>
      </c>
      <c r="B533" s="154" t="s">
        <v>80</v>
      </c>
      <c r="C533" s="154" t="s">
        <v>82</v>
      </c>
      <c r="D533" s="1"/>
      <c r="E533" s="1"/>
      <c r="F533" s="1"/>
      <c r="G533" s="1"/>
    </row>
    <row r="534" spans="1:7" ht="28" x14ac:dyDescent="0.35">
      <c r="A534" s="154" t="s">
        <v>21</v>
      </c>
      <c r="B534" s="154" t="s">
        <v>80</v>
      </c>
      <c r="C534" s="154" t="s">
        <v>82</v>
      </c>
      <c r="D534" s="1"/>
      <c r="E534" s="1"/>
      <c r="F534" s="1"/>
      <c r="G534" s="1"/>
    </row>
    <row r="535" spans="1:7" ht="28" x14ac:dyDescent="0.35">
      <c r="A535" s="154" t="s">
        <v>21</v>
      </c>
      <c r="B535" s="154" t="s">
        <v>80</v>
      </c>
      <c r="C535" s="154" t="s">
        <v>82</v>
      </c>
      <c r="D535" s="1"/>
      <c r="E535" s="1"/>
      <c r="F535" s="1"/>
      <c r="G535" s="1"/>
    </row>
    <row r="536" spans="1:7" ht="28" x14ac:dyDescent="0.35">
      <c r="A536" s="154" t="s">
        <v>21</v>
      </c>
      <c r="B536" s="154" t="s">
        <v>80</v>
      </c>
      <c r="C536" s="154" t="s">
        <v>82</v>
      </c>
      <c r="D536" s="1"/>
      <c r="E536" s="1"/>
      <c r="F536" s="1"/>
      <c r="G536" s="1"/>
    </row>
    <row r="537" spans="1:7" ht="28" x14ac:dyDescent="0.35">
      <c r="A537" s="154" t="s">
        <v>21</v>
      </c>
      <c r="B537" s="154" t="s">
        <v>80</v>
      </c>
      <c r="C537" s="154" t="s">
        <v>82</v>
      </c>
      <c r="D537" s="1"/>
      <c r="E537" s="1"/>
      <c r="F537" s="1"/>
      <c r="G537" s="1"/>
    </row>
    <row r="538" spans="1:7" ht="28" x14ac:dyDescent="0.35">
      <c r="A538" s="154" t="s">
        <v>21</v>
      </c>
      <c r="B538" s="154" t="s">
        <v>80</v>
      </c>
      <c r="C538" s="154" t="s">
        <v>82</v>
      </c>
      <c r="D538" s="1"/>
      <c r="E538" s="1"/>
      <c r="F538" s="1"/>
      <c r="G538" s="1"/>
    </row>
    <row r="539" spans="1:7" ht="28" x14ac:dyDescent="0.35">
      <c r="A539" s="154" t="s">
        <v>21</v>
      </c>
      <c r="B539" s="154" t="s">
        <v>80</v>
      </c>
      <c r="C539" s="154" t="s">
        <v>82</v>
      </c>
      <c r="D539" s="1"/>
      <c r="E539" s="1"/>
      <c r="F539" s="1"/>
      <c r="G539" s="1"/>
    </row>
    <row r="540" spans="1:7" ht="28" x14ac:dyDescent="0.35">
      <c r="A540" s="154" t="s">
        <v>21</v>
      </c>
      <c r="B540" s="154" t="s">
        <v>80</v>
      </c>
      <c r="C540" s="154" t="s">
        <v>82</v>
      </c>
      <c r="D540" s="1"/>
      <c r="E540" s="1"/>
      <c r="F540" s="1"/>
      <c r="G540" s="1"/>
    </row>
    <row r="541" spans="1:7" ht="28" x14ac:dyDescent="0.35">
      <c r="A541" s="154" t="s">
        <v>21</v>
      </c>
      <c r="B541" s="154" t="s">
        <v>80</v>
      </c>
      <c r="C541" s="154" t="s">
        <v>82</v>
      </c>
      <c r="D541" s="1"/>
      <c r="E541" s="1"/>
      <c r="F541" s="1"/>
      <c r="G541" s="1"/>
    </row>
    <row r="542" spans="1:7" ht="28" x14ac:dyDescent="0.35">
      <c r="A542" s="154" t="s">
        <v>21</v>
      </c>
      <c r="B542" s="154" t="s">
        <v>80</v>
      </c>
      <c r="C542" s="154" t="s">
        <v>82</v>
      </c>
      <c r="D542" s="1"/>
      <c r="E542" s="1"/>
      <c r="F542" s="1"/>
      <c r="G542" s="1"/>
    </row>
    <row r="543" spans="1:7" ht="28" x14ac:dyDescent="0.35">
      <c r="A543" s="154" t="s">
        <v>21</v>
      </c>
      <c r="B543" s="154" t="s">
        <v>80</v>
      </c>
      <c r="C543" s="154" t="s">
        <v>82</v>
      </c>
      <c r="D543" s="1"/>
      <c r="E543" s="1"/>
      <c r="F543" s="1"/>
      <c r="G543" s="1"/>
    </row>
    <row r="544" spans="1:7" ht="28" x14ac:dyDescent="0.35">
      <c r="A544" s="154" t="s">
        <v>21</v>
      </c>
      <c r="B544" s="154" t="s">
        <v>80</v>
      </c>
      <c r="C544" s="154" t="s">
        <v>82</v>
      </c>
      <c r="D544" s="1"/>
      <c r="E544" s="1"/>
      <c r="F544" s="1"/>
      <c r="G544" s="1"/>
    </row>
    <row r="545" spans="1:7" ht="42" x14ac:dyDescent="0.35">
      <c r="A545" s="154" t="s">
        <v>21</v>
      </c>
      <c r="B545" s="154" t="s">
        <v>80</v>
      </c>
      <c r="C545" s="154" t="s">
        <v>84</v>
      </c>
      <c r="D545" s="1"/>
      <c r="E545" s="1"/>
      <c r="F545" s="1"/>
      <c r="G545" s="1"/>
    </row>
    <row r="546" spans="1:7" ht="42" x14ac:dyDescent="0.35">
      <c r="A546" s="154" t="s">
        <v>21</v>
      </c>
      <c r="B546" s="154" t="s">
        <v>80</v>
      </c>
      <c r="C546" s="154" t="s">
        <v>84</v>
      </c>
      <c r="D546" s="1"/>
      <c r="E546" s="1"/>
      <c r="F546" s="1"/>
      <c r="G546" s="1"/>
    </row>
    <row r="547" spans="1:7" ht="42" x14ac:dyDescent="0.35">
      <c r="A547" s="154" t="s">
        <v>21</v>
      </c>
      <c r="B547" s="154" t="s">
        <v>80</v>
      </c>
      <c r="C547" s="154" t="s">
        <v>84</v>
      </c>
      <c r="D547" s="1"/>
      <c r="E547" s="1"/>
      <c r="F547" s="1"/>
      <c r="G547" s="1"/>
    </row>
    <row r="548" spans="1:7" ht="42" x14ac:dyDescent="0.35">
      <c r="A548" s="154" t="s">
        <v>21</v>
      </c>
      <c r="B548" s="154" t="s">
        <v>80</v>
      </c>
      <c r="C548" s="154" t="s">
        <v>84</v>
      </c>
      <c r="D548" s="1"/>
      <c r="E548" s="1"/>
      <c r="F548" s="1"/>
      <c r="G548" s="1"/>
    </row>
    <row r="549" spans="1:7" ht="42" x14ac:dyDescent="0.35">
      <c r="A549" s="154" t="s">
        <v>21</v>
      </c>
      <c r="B549" s="154" t="s">
        <v>80</v>
      </c>
      <c r="C549" s="154" t="s">
        <v>84</v>
      </c>
      <c r="D549" s="1"/>
      <c r="E549" s="1"/>
      <c r="F549" s="1"/>
      <c r="G549" s="1"/>
    </row>
    <row r="550" spans="1:7" ht="42" x14ac:dyDescent="0.35">
      <c r="A550" s="154" t="s">
        <v>21</v>
      </c>
      <c r="B550" s="154" t="s">
        <v>80</v>
      </c>
      <c r="C550" s="154" t="s">
        <v>84</v>
      </c>
      <c r="D550" s="1"/>
      <c r="E550" s="1"/>
      <c r="F550" s="1"/>
      <c r="G550" s="1"/>
    </row>
    <row r="551" spans="1:7" ht="42" x14ac:dyDescent="0.35">
      <c r="A551" s="154" t="s">
        <v>21</v>
      </c>
      <c r="B551" s="154" t="s">
        <v>80</v>
      </c>
      <c r="C551" s="154" t="s">
        <v>84</v>
      </c>
      <c r="D551" s="1"/>
      <c r="E551" s="1"/>
      <c r="F551" s="1"/>
      <c r="G551" s="1"/>
    </row>
    <row r="552" spans="1:7" ht="42" x14ac:dyDescent="0.35">
      <c r="A552" s="154" t="s">
        <v>21</v>
      </c>
      <c r="B552" s="154" t="s">
        <v>80</v>
      </c>
      <c r="C552" s="154" t="s">
        <v>84</v>
      </c>
      <c r="D552" s="1"/>
      <c r="E552" s="1"/>
      <c r="F552" s="1"/>
      <c r="G552" s="1"/>
    </row>
    <row r="553" spans="1:7" ht="42" x14ac:dyDescent="0.35">
      <c r="A553" s="154" t="s">
        <v>21</v>
      </c>
      <c r="B553" s="154" t="s">
        <v>80</v>
      </c>
      <c r="C553" s="154" t="s">
        <v>84</v>
      </c>
      <c r="D553" s="1"/>
      <c r="E553" s="1"/>
      <c r="F553" s="1"/>
      <c r="G553" s="1"/>
    </row>
    <row r="554" spans="1:7" ht="42" x14ac:dyDescent="0.35">
      <c r="A554" s="154" t="s">
        <v>21</v>
      </c>
      <c r="B554" s="154" t="s">
        <v>80</v>
      </c>
      <c r="C554" s="154" t="s">
        <v>84</v>
      </c>
      <c r="D554" s="1"/>
      <c r="E554" s="1"/>
      <c r="F554" s="1"/>
      <c r="G554" s="1"/>
    </row>
    <row r="555" spans="1:7" ht="42" x14ac:dyDescent="0.35">
      <c r="A555" s="154" t="s">
        <v>21</v>
      </c>
      <c r="B555" s="154" t="s">
        <v>80</v>
      </c>
      <c r="C555" s="154" t="s">
        <v>84</v>
      </c>
      <c r="D555" s="1"/>
      <c r="E555" s="1"/>
      <c r="F555" s="1"/>
      <c r="G555" s="1"/>
    </row>
    <row r="556" spans="1:7" ht="42" x14ac:dyDescent="0.35">
      <c r="A556" s="154" t="s">
        <v>21</v>
      </c>
      <c r="B556" s="154" t="s">
        <v>80</v>
      </c>
      <c r="C556" s="154" t="s">
        <v>84</v>
      </c>
      <c r="D556" s="1"/>
      <c r="E556" s="1"/>
      <c r="F556" s="1"/>
      <c r="G556" s="1"/>
    </row>
    <row r="557" spans="1:7" ht="42" x14ac:dyDescent="0.35">
      <c r="A557" s="154" t="s">
        <v>21</v>
      </c>
      <c r="B557" s="154" t="s">
        <v>80</v>
      </c>
      <c r="C557" s="154" t="s">
        <v>84</v>
      </c>
      <c r="D557" s="1"/>
      <c r="E557" s="1"/>
      <c r="F557" s="1"/>
      <c r="G557" s="1"/>
    </row>
    <row r="558" spans="1:7" ht="42" x14ac:dyDescent="0.35">
      <c r="A558" s="154" t="s">
        <v>21</v>
      </c>
      <c r="B558" s="154" t="s">
        <v>80</v>
      </c>
      <c r="C558" s="154" t="s">
        <v>84</v>
      </c>
      <c r="D558" s="1"/>
      <c r="E558" s="1"/>
      <c r="F558" s="1"/>
      <c r="G558" s="1"/>
    </row>
    <row r="559" spans="1:7" ht="42" x14ac:dyDescent="0.35">
      <c r="A559" s="154" t="s">
        <v>21</v>
      </c>
      <c r="B559" s="154" t="s">
        <v>80</v>
      </c>
      <c r="C559" s="154" t="s">
        <v>84</v>
      </c>
      <c r="D559" s="1"/>
      <c r="E559" s="1"/>
      <c r="F559" s="1"/>
      <c r="G559" s="1"/>
    </row>
    <row r="560" spans="1:7" ht="42" x14ac:dyDescent="0.35">
      <c r="A560" s="154" t="s">
        <v>21</v>
      </c>
      <c r="B560" s="154" t="s">
        <v>80</v>
      </c>
      <c r="C560" s="154" t="s">
        <v>84</v>
      </c>
      <c r="D560" s="1"/>
      <c r="E560" s="1"/>
      <c r="F560" s="1"/>
      <c r="G560" s="1"/>
    </row>
    <row r="561" spans="1:7" ht="42" x14ac:dyDescent="0.35">
      <c r="A561" s="154" t="s">
        <v>21</v>
      </c>
      <c r="B561" s="154" t="s">
        <v>80</v>
      </c>
      <c r="C561" s="154" t="s">
        <v>84</v>
      </c>
      <c r="D561" s="1"/>
      <c r="E561" s="1"/>
      <c r="F561" s="1"/>
      <c r="G561" s="1"/>
    </row>
    <row r="562" spans="1:7" ht="42" x14ac:dyDescent="0.35">
      <c r="A562" s="154" t="s">
        <v>21</v>
      </c>
      <c r="B562" s="154" t="s">
        <v>80</v>
      </c>
      <c r="C562" s="154" t="s">
        <v>84</v>
      </c>
      <c r="D562" s="1"/>
      <c r="E562" s="1"/>
      <c r="F562" s="1"/>
      <c r="G562" s="1"/>
    </row>
    <row r="563" spans="1:7" ht="42" x14ac:dyDescent="0.35">
      <c r="A563" s="154" t="s">
        <v>21</v>
      </c>
      <c r="B563" s="154" t="s">
        <v>80</v>
      </c>
      <c r="C563" s="154" t="s">
        <v>84</v>
      </c>
      <c r="D563" s="1"/>
      <c r="E563" s="1"/>
      <c r="F563" s="1"/>
      <c r="G563" s="1"/>
    </row>
    <row r="564" spans="1:7" ht="42" x14ac:dyDescent="0.35">
      <c r="A564" s="154" t="s">
        <v>21</v>
      </c>
      <c r="B564" s="154" t="s">
        <v>80</v>
      </c>
      <c r="C564" s="154" t="s">
        <v>84</v>
      </c>
      <c r="D564" s="1"/>
      <c r="E564" s="1"/>
      <c r="F564" s="1"/>
      <c r="G564" s="1"/>
    </row>
    <row r="565" spans="1:7" ht="42" x14ac:dyDescent="0.35">
      <c r="A565" s="154" t="s">
        <v>21</v>
      </c>
      <c r="B565" s="154" t="s">
        <v>80</v>
      </c>
      <c r="C565" s="154" t="s">
        <v>84</v>
      </c>
      <c r="D565" s="1"/>
      <c r="E565" s="1"/>
      <c r="F565" s="1"/>
      <c r="G565" s="1"/>
    </row>
    <row r="566" spans="1:7" ht="42" x14ac:dyDescent="0.35">
      <c r="A566" s="154" t="s">
        <v>21</v>
      </c>
      <c r="B566" s="154" t="s">
        <v>80</v>
      </c>
      <c r="C566" s="154" t="s">
        <v>84</v>
      </c>
      <c r="D566" s="1"/>
      <c r="E566" s="1"/>
      <c r="F566" s="1"/>
      <c r="G566" s="1"/>
    </row>
    <row r="567" spans="1:7" ht="42" x14ac:dyDescent="0.35">
      <c r="A567" s="154" t="s">
        <v>21</v>
      </c>
      <c r="B567" s="154" t="s">
        <v>80</v>
      </c>
      <c r="C567" s="154" t="s">
        <v>84</v>
      </c>
      <c r="D567" s="1"/>
      <c r="E567" s="1"/>
      <c r="F567" s="1"/>
      <c r="G567" s="1"/>
    </row>
    <row r="568" spans="1:7" ht="42" x14ac:dyDescent="0.35">
      <c r="A568" s="154" t="s">
        <v>21</v>
      </c>
      <c r="B568" s="154" t="s">
        <v>80</v>
      </c>
      <c r="C568" s="154" t="s">
        <v>84</v>
      </c>
      <c r="D568" s="1"/>
      <c r="E568" s="1"/>
      <c r="F568" s="1"/>
      <c r="G568" s="1"/>
    </row>
    <row r="569" spans="1:7" ht="42" x14ac:dyDescent="0.35">
      <c r="A569" s="154" t="s">
        <v>21</v>
      </c>
      <c r="B569" s="154" t="s">
        <v>80</v>
      </c>
      <c r="C569" s="154" t="s">
        <v>84</v>
      </c>
      <c r="D569" s="1"/>
      <c r="E569" s="1"/>
      <c r="F569" s="1"/>
      <c r="G569" s="1"/>
    </row>
    <row r="570" spans="1:7" ht="42" x14ac:dyDescent="0.35">
      <c r="A570" s="154" t="s">
        <v>21</v>
      </c>
      <c r="B570" s="154" t="s">
        <v>80</v>
      </c>
      <c r="C570" s="154" t="s">
        <v>84</v>
      </c>
      <c r="D570" s="1"/>
      <c r="E570" s="1"/>
      <c r="F570" s="1"/>
      <c r="G570" s="1"/>
    </row>
    <row r="571" spans="1:7" ht="42" x14ac:dyDescent="0.35">
      <c r="A571" s="154" t="s">
        <v>21</v>
      </c>
      <c r="B571" s="154" t="s">
        <v>80</v>
      </c>
      <c r="C571" s="154" t="s">
        <v>84</v>
      </c>
      <c r="D571" s="1"/>
      <c r="E571" s="1"/>
      <c r="F571" s="1"/>
      <c r="G571" s="1"/>
    </row>
    <row r="572" spans="1:7" ht="42" x14ac:dyDescent="0.35">
      <c r="A572" s="154" t="s">
        <v>21</v>
      </c>
      <c r="B572" s="154" t="s">
        <v>80</v>
      </c>
      <c r="C572" s="154" t="s">
        <v>84</v>
      </c>
      <c r="D572" s="1"/>
      <c r="E572" s="1"/>
      <c r="F572" s="1"/>
      <c r="G572" s="1"/>
    </row>
    <row r="573" spans="1:7" ht="42" x14ac:dyDescent="0.35">
      <c r="A573" s="154" t="s">
        <v>21</v>
      </c>
      <c r="B573" s="154" t="s">
        <v>80</v>
      </c>
      <c r="C573" s="154" t="s">
        <v>84</v>
      </c>
      <c r="D573" s="1"/>
      <c r="E573" s="1"/>
      <c r="F573" s="1"/>
      <c r="G573" s="1"/>
    </row>
    <row r="574" spans="1:7" ht="42" x14ac:dyDescent="0.35">
      <c r="A574" s="154" t="s">
        <v>21</v>
      </c>
      <c r="B574" s="154" t="s">
        <v>80</v>
      </c>
      <c r="C574" s="154" t="s">
        <v>84</v>
      </c>
      <c r="D574" s="1"/>
      <c r="E574" s="1"/>
      <c r="F574" s="1"/>
      <c r="G574" s="1"/>
    </row>
    <row r="575" spans="1:7" ht="42" x14ac:dyDescent="0.35">
      <c r="A575" s="154" t="s">
        <v>21</v>
      </c>
      <c r="B575" s="154" t="s">
        <v>80</v>
      </c>
      <c r="C575" s="154" t="s">
        <v>84</v>
      </c>
      <c r="D575" s="1"/>
      <c r="E575" s="1"/>
      <c r="F575" s="1"/>
      <c r="G575" s="1"/>
    </row>
    <row r="576" spans="1:7" ht="42" x14ac:dyDescent="0.35">
      <c r="A576" s="154" t="s">
        <v>21</v>
      </c>
      <c r="B576" s="154" t="s">
        <v>80</v>
      </c>
      <c r="C576" s="154" t="s">
        <v>84</v>
      </c>
      <c r="D576" s="1"/>
      <c r="E576" s="1"/>
      <c r="F576" s="1"/>
      <c r="G576" s="1"/>
    </row>
    <row r="577" spans="1:7" ht="28" x14ac:dyDescent="0.35">
      <c r="A577" s="154" t="s">
        <v>1794</v>
      </c>
      <c r="B577" s="154" t="s">
        <v>86</v>
      </c>
      <c r="C577" s="154" t="s">
        <v>86</v>
      </c>
      <c r="D577" s="1"/>
      <c r="E577" s="1"/>
      <c r="F577" s="1"/>
      <c r="G577" s="1"/>
    </row>
    <row r="578" spans="1:7" ht="28" x14ac:dyDescent="0.35">
      <c r="A578" s="154" t="s">
        <v>1794</v>
      </c>
      <c r="B578" s="154" t="s">
        <v>86</v>
      </c>
      <c r="C578" s="154" t="s">
        <v>86</v>
      </c>
      <c r="D578" s="1"/>
      <c r="E578" s="1"/>
      <c r="F578" s="1"/>
      <c r="G578" s="1"/>
    </row>
    <row r="579" spans="1:7" ht="28" x14ac:dyDescent="0.35">
      <c r="A579" s="154" t="s">
        <v>1794</v>
      </c>
      <c r="B579" s="154" t="s">
        <v>86</v>
      </c>
      <c r="C579" s="154" t="s">
        <v>86</v>
      </c>
      <c r="D579" s="1"/>
      <c r="E579" s="1"/>
      <c r="F579" s="1"/>
      <c r="G579" s="1"/>
    </row>
    <row r="580" spans="1:7" ht="28" x14ac:dyDescent="0.35">
      <c r="A580" s="154" t="s">
        <v>1794</v>
      </c>
      <c r="B580" s="154" t="s">
        <v>86</v>
      </c>
      <c r="C580" s="154" t="s">
        <v>86</v>
      </c>
      <c r="D580" s="1"/>
      <c r="E580" s="1"/>
      <c r="F580" s="1"/>
      <c r="G580" s="1"/>
    </row>
    <row r="581" spans="1:7" ht="28" x14ac:dyDescent="0.35">
      <c r="A581" s="154" t="s">
        <v>1794</v>
      </c>
      <c r="B581" s="154" t="s">
        <v>86</v>
      </c>
      <c r="C581" s="154" t="s">
        <v>86</v>
      </c>
      <c r="D581" s="1"/>
      <c r="E581" s="1"/>
      <c r="F581" s="1"/>
      <c r="G581" s="1"/>
    </row>
    <row r="582" spans="1:7" ht="28" x14ac:dyDescent="0.35">
      <c r="A582" s="154" t="s">
        <v>1794</v>
      </c>
      <c r="B582" s="154" t="s">
        <v>86</v>
      </c>
      <c r="C582" s="154" t="s">
        <v>86</v>
      </c>
      <c r="D582" s="1"/>
      <c r="E582" s="1"/>
      <c r="F582" s="1"/>
      <c r="G582" s="1"/>
    </row>
    <row r="583" spans="1:7" ht="28" x14ac:dyDescent="0.35">
      <c r="A583" s="154" t="s">
        <v>1794</v>
      </c>
      <c r="B583" s="154" t="s">
        <v>86</v>
      </c>
      <c r="C583" s="154" t="s">
        <v>86</v>
      </c>
      <c r="D583" s="1"/>
      <c r="E583" s="1"/>
      <c r="F583" s="1"/>
      <c r="G583" s="1"/>
    </row>
    <row r="584" spans="1:7" ht="28" x14ac:dyDescent="0.35">
      <c r="A584" s="154" t="s">
        <v>1794</v>
      </c>
      <c r="B584" s="154" t="s">
        <v>86</v>
      </c>
      <c r="C584" s="154" t="s">
        <v>86</v>
      </c>
      <c r="D584" s="1"/>
      <c r="E584" s="1"/>
      <c r="F584" s="1"/>
      <c r="G584" s="1"/>
    </row>
    <row r="585" spans="1:7" ht="56" x14ac:dyDescent="0.35">
      <c r="A585" s="154" t="s">
        <v>1794</v>
      </c>
      <c r="B585" s="154" t="s">
        <v>88</v>
      </c>
      <c r="C585" s="154" t="s">
        <v>88</v>
      </c>
      <c r="D585" s="1"/>
      <c r="E585" s="1"/>
      <c r="F585" s="1"/>
      <c r="G585" s="1"/>
    </row>
    <row r="586" spans="1:7" ht="56" x14ac:dyDescent="0.35">
      <c r="A586" s="154" t="s">
        <v>1794</v>
      </c>
      <c r="B586" s="154" t="s">
        <v>88</v>
      </c>
      <c r="C586" s="154" t="s">
        <v>88</v>
      </c>
      <c r="D586" s="1"/>
      <c r="E586" s="1"/>
      <c r="F586" s="1"/>
      <c r="G586" s="1"/>
    </row>
    <row r="587" spans="1:7" ht="56" x14ac:dyDescent="0.35">
      <c r="A587" s="154" t="s">
        <v>1794</v>
      </c>
      <c r="B587" s="154" t="s">
        <v>88</v>
      </c>
      <c r="C587" s="154" t="s">
        <v>88</v>
      </c>
      <c r="D587" s="1"/>
      <c r="E587" s="1"/>
      <c r="F587" s="1"/>
      <c r="G587" s="1"/>
    </row>
    <row r="588" spans="1:7" ht="56" x14ac:dyDescent="0.35">
      <c r="A588" s="154" t="s">
        <v>1794</v>
      </c>
      <c r="B588" s="154" t="s">
        <v>88</v>
      </c>
      <c r="C588" s="154" t="s">
        <v>88</v>
      </c>
      <c r="D588" s="1"/>
      <c r="E588" s="1"/>
      <c r="F588" s="1"/>
      <c r="G588" s="1"/>
    </row>
    <row r="589" spans="1:7" ht="56" x14ac:dyDescent="0.35">
      <c r="A589" s="154" t="s">
        <v>1794</v>
      </c>
      <c r="B589" s="154" t="s">
        <v>88</v>
      </c>
      <c r="C589" s="154" t="s">
        <v>88</v>
      </c>
      <c r="D589" s="1"/>
      <c r="E589" s="1"/>
      <c r="F589" s="1"/>
      <c r="G589" s="1"/>
    </row>
    <row r="590" spans="1:7" ht="56" x14ac:dyDescent="0.35">
      <c r="A590" s="154" t="s">
        <v>1794</v>
      </c>
      <c r="B590" s="154" t="s">
        <v>88</v>
      </c>
      <c r="C590" s="154" t="s">
        <v>88</v>
      </c>
      <c r="D590" s="1"/>
      <c r="E590" s="1"/>
      <c r="F590" s="1"/>
      <c r="G590" s="1"/>
    </row>
    <row r="591" spans="1:7" ht="56" x14ac:dyDescent="0.35">
      <c r="A591" s="154" t="s">
        <v>1794</v>
      </c>
      <c r="B591" s="154" t="s">
        <v>88</v>
      </c>
      <c r="C591" s="154" t="s">
        <v>88</v>
      </c>
      <c r="D591" s="1"/>
      <c r="E591" s="1"/>
      <c r="F591" s="1"/>
      <c r="G591" s="1"/>
    </row>
    <row r="592" spans="1:7" ht="56" x14ac:dyDescent="0.35">
      <c r="A592" s="154" t="s">
        <v>1794</v>
      </c>
      <c r="B592" s="154" t="s">
        <v>88</v>
      </c>
      <c r="C592" s="154" t="s">
        <v>88</v>
      </c>
      <c r="D592" s="1"/>
      <c r="E592" s="1"/>
      <c r="F592" s="1"/>
      <c r="G592" s="1"/>
    </row>
    <row r="593" spans="1:7" ht="56" x14ac:dyDescent="0.35">
      <c r="A593" s="154" t="s">
        <v>1794</v>
      </c>
      <c r="B593" s="154" t="s">
        <v>89</v>
      </c>
      <c r="C593" s="154" t="s">
        <v>89</v>
      </c>
      <c r="D593" s="1"/>
      <c r="E593" s="1"/>
      <c r="F593" s="1"/>
      <c r="G593" s="1"/>
    </row>
    <row r="594" spans="1:7" ht="56" x14ac:dyDescent="0.35">
      <c r="A594" s="154" t="s">
        <v>1794</v>
      </c>
      <c r="B594" s="154" t="s">
        <v>89</v>
      </c>
      <c r="C594" s="154" t="s">
        <v>89</v>
      </c>
      <c r="D594" s="1"/>
      <c r="E594" s="1"/>
      <c r="F594" s="1"/>
      <c r="G594" s="1"/>
    </row>
    <row r="595" spans="1:7" ht="56" x14ac:dyDescent="0.35">
      <c r="A595" s="154" t="s">
        <v>1794</v>
      </c>
      <c r="B595" s="154" t="s">
        <v>89</v>
      </c>
      <c r="C595" s="154" t="s">
        <v>89</v>
      </c>
      <c r="D595" s="1"/>
      <c r="E595" s="1"/>
      <c r="F595" s="1"/>
      <c r="G595" s="1"/>
    </row>
    <row r="596" spans="1:7" ht="56" x14ac:dyDescent="0.35">
      <c r="A596" s="154" t="s">
        <v>1794</v>
      </c>
      <c r="B596" s="154" t="s">
        <v>89</v>
      </c>
      <c r="C596" s="154" t="s">
        <v>89</v>
      </c>
      <c r="D596" s="1"/>
      <c r="E596" s="1"/>
      <c r="F596" s="1"/>
      <c r="G596" s="1"/>
    </row>
    <row r="597" spans="1:7" ht="56" x14ac:dyDescent="0.35">
      <c r="A597" s="154" t="s">
        <v>1794</v>
      </c>
      <c r="B597" s="154" t="s">
        <v>89</v>
      </c>
      <c r="C597" s="154" t="s">
        <v>89</v>
      </c>
      <c r="D597" s="1"/>
      <c r="E597" s="1"/>
      <c r="F597" s="1"/>
      <c r="G597" s="1"/>
    </row>
    <row r="598" spans="1:7" ht="56" x14ac:dyDescent="0.35">
      <c r="A598" s="154" t="s">
        <v>1794</v>
      </c>
      <c r="B598" s="154" t="s">
        <v>89</v>
      </c>
      <c r="C598" s="154" t="s">
        <v>89</v>
      </c>
      <c r="D598" s="1"/>
      <c r="E598" s="1"/>
      <c r="F598" s="1"/>
      <c r="G598" s="1"/>
    </row>
    <row r="599" spans="1:7" ht="56" x14ac:dyDescent="0.35">
      <c r="A599" s="154" t="s">
        <v>1794</v>
      </c>
      <c r="B599" s="154" t="s">
        <v>89</v>
      </c>
      <c r="C599" s="154" t="s">
        <v>89</v>
      </c>
      <c r="D599" s="1"/>
      <c r="E599" s="1"/>
      <c r="F599" s="1"/>
      <c r="G599" s="1"/>
    </row>
    <row r="600" spans="1:7" ht="56" x14ac:dyDescent="0.35">
      <c r="A600" s="154" t="s">
        <v>1794</v>
      </c>
      <c r="B600" s="154" t="s">
        <v>89</v>
      </c>
      <c r="C600" s="154" t="s">
        <v>89</v>
      </c>
      <c r="D600" s="1"/>
      <c r="E600" s="1"/>
      <c r="F600" s="1"/>
      <c r="G600" s="1"/>
    </row>
    <row r="601" spans="1:7" ht="56" x14ac:dyDescent="0.35">
      <c r="A601" s="154" t="s">
        <v>1794</v>
      </c>
      <c r="B601" s="154" t="s">
        <v>89</v>
      </c>
      <c r="C601" s="154" t="s">
        <v>89</v>
      </c>
      <c r="D601" s="1"/>
      <c r="E601" s="1"/>
      <c r="F601" s="1"/>
      <c r="G601" s="1"/>
    </row>
    <row r="602" spans="1:7" ht="56" x14ac:dyDescent="0.35">
      <c r="A602" s="154" t="s">
        <v>1794</v>
      </c>
      <c r="B602" s="154" t="s">
        <v>89</v>
      </c>
      <c r="C602" s="154" t="s">
        <v>89</v>
      </c>
      <c r="D602" s="1"/>
      <c r="E602" s="1"/>
      <c r="F602" s="1"/>
      <c r="G602" s="1"/>
    </row>
    <row r="603" spans="1:7" ht="56" x14ac:dyDescent="0.35">
      <c r="A603" s="154" t="s">
        <v>1794</v>
      </c>
      <c r="B603" s="154" t="s">
        <v>89</v>
      </c>
      <c r="C603" s="154" t="s">
        <v>89</v>
      </c>
      <c r="D603" s="1"/>
      <c r="E603" s="1"/>
      <c r="F603" s="1"/>
      <c r="G603" s="1"/>
    </row>
    <row r="604" spans="1:7" ht="56" x14ac:dyDescent="0.35">
      <c r="A604" s="154" t="s">
        <v>1794</v>
      </c>
      <c r="B604" s="154" t="s">
        <v>89</v>
      </c>
      <c r="C604" s="154" t="s">
        <v>89</v>
      </c>
      <c r="D604" s="1"/>
      <c r="E604" s="1"/>
      <c r="F604" s="1"/>
      <c r="G604" s="1"/>
    </row>
    <row r="605" spans="1:7" ht="56" x14ac:dyDescent="0.35">
      <c r="A605" s="154" t="s">
        <v>1794</v>
      </c>
      <c r="B605" s="154" t="s">
        <v>89</v>
      </c>
      <c r="C605" s="154" t="s">
        <v>89</v>
      </c>
      <c r="D605" s="1"/>
      <c r="E605" s="1"/>
      <c r="F605" s="1"/>
      <c r="G605" s="1"/>
    </row>
    <row r="606" spans="1:7" ht="98" x14ac:dyDescent="0.35">
      <c r="A606" s="154" t="s">
        <v>1794</v>
      </c>
      <c r="B606" s="154" t="s">
        <v>91</v>
      </c>
      <c r="C606" s="154" t="s">
        <v>91</v>
      </c>
      <c r="D606" s="1"/>
      <c r="E606" s="1"/>
      <c r="F606" s="1"/>
      <c r="G606" s="1"/>
    </row>
    <row r="607" spans="1:7" ht="98" x14ac:dyDescent="0.35">
      <c r="A607" s="154" t="s">
        <v>1794</v>
      </c>
      <c r="B607" s="154" t="s">
        <v>91</v>
      </c>
      <c r="C607" s="154" t="s">
        <v>91</v>
      </c>
      <c r="D607" s="1"/>
      <c r="E607" s="1"/>
      <c r="F607" s="1"/>
      <c r="G607" s="1"/>
    </row>
    <row r="608" spans="1:7" ht="98" x14ac:dyDescent="0.35">
      <c r="A608" s="154" t="s">
        <v>1794</v>
      </c>
      <c r="B608" s="154" t="s">
        <v>91</v>
      </c>
      <c r="C608" s="154" t="s">
        <v>91</v>
      </c>
      <c r="D608" s="1"/>
      <c r="E608" s="1"/>
      <c r="F608" s="1"/>
      <c r="G608" s="1"/>
    </row>
    <row r="609" spans="1:7" ht="98" x14ac:dyDescent="0.35">
      <c r="A609" s="154" t="s">
        <v>1794</v>
      </c>
      <c r="B609" s="154" t="s">
        <v>91</v>
      </c>
      <c r="C609" s="154" t="s">
        <v>91</v>
      </c>
      <c r="D609" s="1"/>
      <c r="E609" s="1"/>
      <c r="F609" s="1"/>
      <c r="G609" s="1"/>
    </row>
    <row r="610" spans="1:7" ht="98" x14ac:dyDescent="0.35">
      <c r="A610" s="154" t="s">
        <v>1794</v>
      </c>
      <c r="B610" s="154" t="s">
        <v>91</v>
      </c>
      <c r="C610" s="154" t="s">
        <v>91</v>
      </c>
      <c r="D610" s="1"/>
      <c r="E610" s="1"/>
      <c r="F610" s="1"/>
      <c r="G610" s="1"/>
    </row>
    <row r="611" spans="1:7" ht="98" x14ac:dyDescent="0.35">
      <c r="A611" s="154" t="s">
        <v>1794</v>
      </c>
      <c r="B611" s="154" t="s">
        <v>91</v>
      </c>
      <c r="C611" s="154" t="s">
        <v>91</v>
      </c>
      <c r="D611" s="1"/>
      <c r="E611" s="1"/>
      <c r="F611" s="1"/>
      <c r="G611" s="1"/>
    </row>
    <row r="612" spans="1:7" ht="98" x14ac:dyDescent="0.35">
      <c r="A612" s="154" t="s">
        <v>1794</v>
      </c>
      <c r="B612" s="154" t="s">
        <v>91</v>
      </c>
      <c r="C612" s="154" t="s">
        <v>91</v>
      </c>
      <c r="D612" s="1"/>
      <c r="E612" s="1"/>
      <c r="F612" s="1"/>
      <c r="G612" s="1"/>
    </row>
    <row r="613" spans="1:7" ht="98" x14ac:dyDescent="0.35">
      <c r="A613" s="154" t="s">
        <v>1794</v>
      </c>
      <c r="B613" s="154" t="s">
        <v>91</v>
      </c>
      <c r="C613" s="154" t="s">
        <v>91</v>
      </c>
      <c r="D613" s="1"/>
      <c r="E613" s="1"/>
      <c r="F613" s="1"/>
      <c r="G613" s="1"/>
    </row>
    <row r="614" spans="1:7" ht="98" x14ac:dyDescent="0.35">
      <c r="A614" s="154" t="s">
        <v>1794</v>
      </c>
      <c r="B614" s="154" t="s">
        <v>91</v>
      </c>
      <c r="C614" s="154" t="s">
        <v>91</v>
      </c>
      <c r="D614" s="1"/>
      <c r="E614" s="1"/>
      <c r="F614" s="1"/>
      <c r="G614" s="1"/>
    </row>
    <row r="615" spans="1:7" ht="56" x14ac:dyDescent="0.35">
      <c r="A615" s="154" t="s">
        <v>1794</v>
      </c>
      <c r="B615" s="154" t="s">
        <v>93</v>
      </c>
      <c r="C615" s="154" t="s">
        <v>93</v>
      </c>
      <c r="D615" s="1"/>
      <c r="E615" s="1"/>
      <c r="F615" s="1"/>
      <c r="G615" s="1"/>
    </row>
    <row r="616" spans="1:7" ht="56" x14ac:dyDescent="0.35">
      <c r="A616" s="154" t="s">
        <v>1794</v>
      </c>
      <c r="B616" s="154" t="s">
        <v>93</v>
      </c>
      <c r="C616" s="154" t="s">
        <v>93</v>
      </c>
      <c r="D616" s="1"/>
      <c r="E616" s="1"/>
      <c r="F616" s="1"/>
      <c r="G616" s="1"/>
    </row>
    <row r="617" spans="1:7" ht="56" x14ac:dyDescent="0.35">
      <c r="A617" s="154" t="s">
        <v>1794</v>
      </c>
      <c r="B617" s="154" t="s">
        <v>93</v>
      </c>
      <c r="C617" s="154" t="s">
        <v>93</v>
      </c>
      <c r="D617" s="1"/>
      <c r="E617" s="1"/>
      <c r="F617" s="1"/>
      <c r="G617" s="1"/>
    </row>
    <row r="618" spans="1:7" ht="56" x14ac:dyDescent="0.35">
      <c r="A618" s="154" t="s">
        <v>1794</v>
      </c>
      <c r="B618" s="154" t="s">
        <v>93</v>
      </c>
      <c r="C618" s="154" t="s">
        <v>93</v>
      </c>
      <c r="D618" s="1"/>
      <c r="E618" s="1"/>
      <c r="F618" s="1"/>
      <c r="G618" s="1"/>
    </row>
    <row r="619" spans="1:7" ht="56" x14ac:dyDescent="0.35">
      <c r="A619" s="154" t="s">
        <v>1794</v>
      </c>
      <c r="B619" s="154" t="s">
        <v>93</v>
      </c>
      <c r="C619" s="154" t="s">
        <v>93</v>
      </c>
      <c r="D619" s="1"/>
      <c r="E619" s="1"/>
      <c r="F619" s="1"/>
      <c r="G619" s="1"/>
    </row>
    <row r="620" spans="1:7" ht="56" x14ac:dyDescent="0.35">
      <c r="A620" s="154" t="s">
        <v>1794</v>
      </c>
      <c r="B620" s="154" t="s">
        <v>93</v>
      </c>
      <c r="C620" s="154" t="s">
        <v>93</v>
      </c>
      <c r="D620" s="1"/>
      <c r="E620" s="1"/>
      <c r="F620" s="1"/>
      <c r="G620" s="1"/>
    </row>
    <row r="621" spans="1:7" ht="28" x14ac:dyDescent="0.35">
      <c r="A621" s="154" t="s">
        <v>1794</v>
      </c>
      <c r="B621" s="154" t="s">
        <v>94</v>
      </c>
      <c r="C621" s="154" t="s">
        <v>94</v>
      </c>
      <c r="D621" s="1"/>
      <c r="E621" s="1"/>
      <c r="F621" s="1"/>
      <c r="G621" s="1"/>
    </row>
    <row r="622" spans="1:7" ht="28" x14ac:dyDescent="0.35">
      <c r="A622" s="154" t="s">
        <v>1794</v>
      </c>
      <c r="B622" s="154" t="s">
        <v>94</v>
      </c>
      <c r="C622" s="154" t="s">
        <v>94</v>
      </c>
      <c r="D622" s="1"/>
      <c r="E622" s="1"/>
      <c r="F622" s="1"/>
      <c r="G622" s="1"/>
    </row>
    <row r="623" spans="1:7" ht="28" x14ac:dyDescent="0.35">
      <c r="A623" s="154" t="s">
        <v>1794</v>
      </c>
      <c r="B623" s="154" t="s">
        <v>94</v>
      </c>
      <c r="C623" s="154" t="s">
        <v>94</v>
      </c>
      <c r="D623" s="1"/>
      <c r="E623" s="1"/>
      <c r="F623" s="1"/>
      <c r="G623" s="1"/>
    </row>
    <row r="624" spans="1:7" ht="28" x14ac:dyDescent="0.35">
      <c r="A624" s="154" t="s">
        <v>1794</v>
      </c>
      <c r="B624" s="154" t="s">
        <v>94</v>
      </c>
      <c r="C624" s="154" t="s">
        <v>94</v>
      </c>
      <c r="D624" s="1"/>
      <c r="E624" s="1"/>
      <c r="F624" s="1"/>
      <c r="G624" s="1"/>
    </row>
    <row r="625" spans="1:7" ht="28" x14ac:dyDescent="0.35">
      <c r="A625" s="154" t="s">
        <v>1794</v>
      </c>
      <c r="B625" s="154" t="s">
        <v>94</v>
      </c>
      <c r="C625" s="154" t="s">
        <v>94</v>
      </c>
      <c r="D625" s="1"/>
      <c r="E625" s="1"/>
      <c r="F625" s="1"/>
      <c r="G625" s="1"/>
    </row>
    <row r="626" spans="1:7" ht="28" x14ac:dyDescent="0.35">
      <c r="A626" s="154" t="s">
        <v>1794</v>
      </c>
      <c r="B626" s="154" t="s">
        <v>94</v>
      </c>
      <c r="C626" s="154" t="s">
        <v>94</v>
      </c>
      <c r="D626" s="1"/>
      <c r="E626" s="1"/>
      <c r="F626" s="1"/>
      <c r="G626" s="1"/>
    </row>
    <row r="627" spans="1:7" ht="28" x14ac:dyDescent="0.35">
      <c r="A627" s="154" t="s">
        <v>1794</v>
      </c>
      <c r="B627" s="154" t="s">
        <v>94</v>
      </c>
      <c r="C627" s="154" t="s">
        <v>94</v>
      </c>
      <c r="D627" s="1"/>
      <c r="E627" s="1"/>
      <c r="F627" s="1"/>
      <c r="G627" s="1"/>
    </row>
    <row r="628" spans="1:7" ht="28" x14ac:dyDescent="0.35">
      <c r="A628" s="154" t="s">
        <v>1794</v>
      </c>
      <c r="B628" s="154" t="s">
        <v>94</v>
      </c>
      <c r="C628" s="154" t="s">
        <v>94</v>
      </c>
      <c r="D628" s="1"/>
      <c r="E628" s="1"/>
      <c r="F628" s="1"/>
      <c r="G628" s="1"/>
    </row>
    <row r="629" spans="1:7" ht="28" x14ac:dyDescent="0.35">
      <c r="A629" s="154" t="s">
        <v>1794</v>
      </c>
      <c r="B629" s="154" t="s">
        <v>94</v>
      </c>
      <c r="C629" s="154" t="s">
        <v>94</v>
      </c>
      <c r="D629" s="1"/>
      <c r="E629" s="1"/>
      <c r="F629" s="1"/>
      <c r="G629" s="1"/>
    </row>
    <row r="630" spans="1:7" ht="28" x14ac:dyDescent="0.35">
      <c r="A630" s="154" t="s">
        <v>1794</v>
      </c>
      <c r="B630" s="154" t="s">
        <v>94</v>
      </c>
      <c r="C630" s="154" t="s">
        <v>94</v>
      </c>
      <c r="D630" s="1"/>
      <c r="E630" s="1"/>
      <c r="F630" s="1"/>
      <c r="G630" s="1"/>
    </row>
    <row r="631" spans="1:7" ht="28" x14ac:dyDescent="0.35">
      <c r="A631" s="154" t="s">
        <v>1794</v>
      </c>
      <c r="B631" s="154" t="s">
        <v>94</v>
      </c>
      <c r="C631" s="154" t="s">
        <v>94</v>
      </c>
      <c r="D631" s="1"/>
      <c r="E631" s="1"/>
      <c r="F631" s="1"/>
      <c r="G631" s="1"/>
    </row>
    <row r="632" spans="1:7" ht="28" x14ac:dyDescent="0.35">
      <c r="A632" s="154" t="s">
        <v>1794</v>
      </c>
      <c r="B632" s="154" t="s">
        <v>94</v>
      </c>
      <c r="C632" s="154" t="s">
        <v>94</v>
      </c>
      <c r="D632" s="1"/>
      <c r="E632" s="1"/>
      <c r="F632" s="1"/>
      <c r="G632" s="1"/>
    </row>
    <row r="633" spans="1:7" ht="28" x14ac:dyDescent="0.35">
      <c r="A633" s="154" t="s">
        <v>1794</v>
      </c>
      <c r="B633" s="154" t="s">
        <v>94</v>
      </c>
      <c r="C633" s="154" t="s">
        <v>94</v>
      </c>
      <c r="D633" s="1"/>
      <c r="E633" s="1"/>
      <c r="F633" s="1"/>
      <c r="G633" s="1"/>
    </row>
    <row r="634" spans="1:7" ht="28" x14ac:dyDescent="0.35">
      <c r="A634" s="154" t="s">
        <v>1794</v>
      </c>
      <c r="B634" s="154" t="s">
        <v>94</v>
      </c>
      <c r="C634" s="154" t="s">
        <v>94</v>
      </c>
      <c r="D634" s="1"/>
      <c r="E634" s="1"/>
      <c r="F634" s="1"/>
      <c r="G634" s="1"/>
    </row>
    <row r="635" spans="1:7" ht="28" x14ac:dyDescent="0.35">
      <c r="A635" s="154" t="s">
        <v>1794</v>
      </c>
      <c r="B635" s="154" t="s">
        <v>94</v>
      </c>
      <c r="C635" s="154" t="s">
        <v>94</v>
      </c>
      <c r="D635" s="1"/>
      <c r="E635" s="1"/>
      <c r="F635" s="1"/>
      <c r="G635" s="1"/>
    </row>
    <row r="636" spans="1:7" ht="28" x14ac:dyDescent="0.35">
      <c r="A636" s="154" t="s">
        <v>1794</v>
      </c>
      <c r="B636" s="154" t="s">
        <v>94</v>
      </c>
      <c r="C636" s="154" t="s">
        <v>94</v>
      </c>
      <c r="D636" s="1"/>
      <c r="E636" s="1"/>
      <c r="F636" s="1"/>
      <c r="G636" s="1"/>
    </row>
    <row r="637" spans="1:7" ht="28" x14ac:dyDescent="0.35">
      <c r="A637" s="154" t="s">
        <v>1794</v>
      </c>
      <c r="B637" s="154" t="s">
        <v>94</v>
      </c>
      <c r="C637" s="154" t="s">
        <v>94</v>
      </c>
      <c r="D637" s="1"/>
      <c r="E637" s="1"/>
      <c r="F637" s="1"/>
      <c r="G637" s="1"/>
    </row>
    <row r="638" spans="1:7" ht="28" x14ac:dyDescent="0.35">
      <c r="A638" s="154" t="s">
        <v>1794</v>
      </c>
      <c r="B638" s="154" t="s">
        <v>94</v>
      </c>
      <c r="C638" s="154" t="s">
        <v>94</v>
      </c>
      <c r="D638" s="1"/>
      <c r="E638" s="1"/>
      <c r="F638" s="1"/>
      <c r="G638" s="1"/>
    </row>
    <row r="639" spans="1:7" ht="28" x14ac:dyDescent="0.35">
      <c r="A639" s="154" t="s">
        <v>1794</v>
      </c>
      <c r="B639" s="154" t="s">
        <v>94</v>
      </c>
      <c r="C639" s="154" t="s">
        <v>94</v>
      </c>
      <c r="D639" s="1"/>
      <c r="E639" s="1"/>
      <c r="F639" s="1"/>
      <c r="G639" s="1"/>
    </row>
    <row r="640" spans="1:7" ht="28" x14ac:dyDescent="0.35">
      <c r="A640" s="154" t="s">
        <v>1794</v>
      </c>
      <c r="B640" s="154" t="s">
        <v>94</v>
      </c>
      <c r="C640" s="154" t="s">
        <v>94</v>
      </c>
      <c r="D640" s="1"/>
      <c r="E640" s="1"/>
      <c r="F640" s="1"/>
      <c r="G640" s="1"/>
    </row>
    <row r="641" spans="1:7" ht="28" x14ac:dyDescent="0.35">
      <c r="A641" s="154" t="s">
        <v>1794</v>
      </c>
      <c r="B641" s="154" t="s">
        <v>94</v>
      </c>
      <c r="C641" s="154" t="s">
        <v>94</v>
      </c>
      <c r="D641" s="1"/>
      <c r="E641" s="1"/>
      <c r="F641" s="1"/>
      <c r="G641" s="1"/>
    </row>
    <row r="642" spans="1:7" ht="28" x14ac:dyDescent="0.35">
      <c r="A642" s="154" t="s">
        <v>1794</v>
      </c>
      <c r="B642" s="154" t="s">
        <v>94</v>
      </c>
      <c r="C642" s="154" t="s">
        <v>94</v>
      </c>
      <c r="D642" s="1"/>
      <c r="E642" s="1"/>
      <c r="F642" s="1"/>
      <c r="G642" s="1"/>
    </row>
    <row r="643" spans="1:7" ht="28" x14ac:dyDescent="0.35">
      <c r="A643" s="154" t="s">
        <v>1794</v>
      </c>
      <c r="B643" s="154" t="s">
        <v>94</v>
      </c>
      <c r="C643" s="154" t="s">
        <v>94</v>
      </c>
      <c r="D643" s="1"/>
      <c r="E643" s="1"/>
      <c r="F643" s="1"/>
      <c r="G643" s="1"/>
    </row>
    <row r="644" spans="1:7" ht="28" x14ac:dyDescent="0.35">
      <c r="A644" s="154" t="s">
        <v>1794</v>
      </c>
      <c r="B644" s="154" t="s">
        <v>94</v>
      </c>
      <c r="C644" s="154" t="s">
        <v>94</v>
      </c>
      <c r="D644" s="1"/>
      <c r="E644" s="1"/>
      <c r="F644" s="1"/>
      <c r="G644" s="1"/>
    </row>
    <row r="645" spans="1:7" ht="28" x14ac:dyDescent="0.35">
      <c r="A645" s="154" t="s">
        <v>1794</v>
      </c>
      <c r="B645" s="154" t="s">
        <v>94</v>
      </c>
      <c r="C645" s="154" t="s">
        <v>94</v>
      </c>
      <c r="D645" s="1"/>
      <c r="E645" s="1"/>
      <c r="F645" s="1"/>
      <c r="G645" s="1"/>
    </row>
    <row r="646" spans="1:7" ht="28" x14ac:dyDescent="0.35">
      <c r="A646" s="154" t="s">
        <v>1794</v>
      </c>
      <c r="B646" s="154" t="s">
        <v>94</v>
      </c>
      <c r="C646" s="154" t="s">
        <v>94</v>
      </c>
      <c r="D646" s="1"/>
      <c r="E646" s="1"/>
      <c r="F646" s="1"/>
      <c r="G646" s="1"/>
    </row>
    <row r="647" spans="1:7" ht="28" x14ac:dyDescent="0.35">
      <c r="A647" s="154" t="s">
        <v>1794</v>
      </c>
      <c r="B647" s="154" t="s">
        <v>94</v>
      </c>
      <c r="C647" s="154" t="s">
        <v>94</v>
      </c>
      <c r="D647" s="1"/>
      <c r="E647" s="1"/>
      <c r="F647" s="1"/>
      <c r="G647" s="1"/>
    </row>
    <row r="648" spans="1:7" ht="28" x14ac:dyDescent="0.35">
      <c r="A648" s="154" t="s">
        <v>1794</v>
      </c>
      <c r="B648" s="154" t="s">
        <v>94</v>
      </c>
      <c r="C648" s="154" t="s">
        <v>94</v>
      </c>
      <c r="D648" s="1"/>
      <c r="E648" s="1"/>
      <c r="F648" s="1"/>
      <c r="G648" s="1"/>
    </row>
    <row r="649" spans="1:7" ht="28" x14ac:dyDescent="0.35">
      <c r="A649" s="154" t="s">
        <v>1794</v>
      </c>
      <c r="B649" s="154" t="s">
        <v>94</v>
      </c>
      <c r="C649" s="154" t="s">
        <v>94</v>
      </c>
      <c r="D649" s="1"/>
      <c r="E649" s="1"/>
      <c r="F649" s="1"/>
      <c r="G649" s="1"/>
    </row>
    <row r="650" spans="1:7" ht="28" x14ac:dyDescent="0.35">
      <c r="A650" s="154" t="s">
        <v>1794</v>
      </c>
      <c r="B650" s="154" t="s">
        <v>94</v>
      </c>
      <c r="C650" s="154" t="s">
        <v>94</v>
      </c>
      <c r="D650" s="1"/>
      <c r="E650" s="1"/>
      <c r="F650" s="1"/>
      <c r="G650" s="1"/>
    </row>
    <row r="651" spans="1:7" ht="28" x14ac:dyDescent="0.35">
      <c r="A651" s="154" t="s">
        <v>1794</v>
      </c>
      <c r="B651" s="154" t="s">
        <v>94</v>
      </c>
      <c r="C651" s="154" t="s">
        <v>94</v>
      </c>
      <c r="D651" s="1"/>
      <c r="E651" s="1"/>
      <c r="F651" s="1"/>
      <c r="G651" s="1"/>
    </row>
    <row r="652" spans="1:7" ht="28" x14ac:dyDescent="0.35">
      <c r="A652" s="154" t="s">
        <v>1794</v>
      </c>
      <c r="B652" s="154" t="s">
        <v>94</v>
      </c>
      <c r="C652" s="154" t="s">
        <v>94</v>
      </c>
      <c r="D652" s="1"/>
      <c r="E652" s="1"/>
      <c r="F652" s="1"/>
      <c r="G652" s="1"/>
    </row>
    <row r="653" spans="1:7" ht="28" x14ac:dyDescent="0.35">
      <c r="A653" s="154" t="s">
        <v>1794</v>
      </c>
      <c r="B653" s="154" t="s">
        <v>94</v>
      </c>
      <c r="C653" s="154" t="s">
        <v>94</v>
      </c>
      <c r="D653" s="1"/>
      <c r="E653" s="1"/>
      <c r="F653" s="1"/>
      <c r="G653" s="1"/>
    </row>
    <row r="654" spans="1:7" ht="28" x14ac:dyDescent="0.35">
      <c r="A654" s="154" t="s">
        <v>1794</v>
      </c>
      <c r="B654" s="154" t="s">
        <v>94</v>
      </c>
      <c r="C654" s="154" t="s">
        <v>94</v>
      </c>
      <c r="D654" s="1"/>
      <c r="E654" s="1"/>
      <c r="F654" s="1"/>
      <c r="G654" s="1"/>
    </row>
    <row r="655" spans="1:7" ht="28" x14ac:dyDescent="0.35">
      <c r="A655" s="154" t="s">
        <v>1794</v>
      </c>
      <c r="B655" s="154" t="s">
        <v>94</v>
      </c>
      <c r="C655" s="154" t="s">
        <v>94</v>
      </c>
      <c r="D655" s="1"/>
      <c r="E655" s="1"/>
      <c r="F655" s="1"/>
      <c r="G655" s="1"/>
    </row>
    <row r="656" spans="1:7" ht="28" x14ac:dyDescent="0.35">
      <c r="A656" s="154" t="s">
        <v>1794</v>
      </c>
      <c r="B656" s="154" t="s">
        <v>94</v>
      </c>
      <c r="C656" s="154" t="s">
        <v>94</v>
      </c>
      <c r="D656" s="1"/>
      <c r="E656" s="1"/>
      <c r="F656" s="1"/>
      <c r="G656" s="1"/>
    </row>
    <row r="657" spans="1:7" ht="28" x14ac:dyDescent="0.35">
      <c r="A657" s="154" t="s">
        <v>1794</v>
      </c>
      <c r="B657" s="154" t="s">
        <v>94</v>
      </c>
      <c r="C657" s="154" t="s">
        <v>94</v>
      </c>
      <c r="D657" s="1"/>
      <c r="E657" s="1"/>
      <c r="F657" s="1"/>
      <c r="G657" s="1"/>
    </row>
    <row r="658" spans="1:7" ht="28" x14ac:dyDescent="0.35">
      <c r="A658" s="154" t="s">
        <v>1794</v>
      </c>
      <c r="B658" s="154" t="s">
        <v>94</v>
      </c>
      <c r="C658" s="154" t="s">
        <v>94</v>
      </c>
      <c r="D658" s="1"/>
      <c r="E658" s="1"/>
      <c r="F658" s="1"/>
      <c r="G658" s="1"/>
    </row>
    <row r="659" spans="1:7" ht="28" x14ac:dyDescent="0.35">
      <c r="A659" s="154" t="s">
        <v>1794</v>
      </c>
      <c r="B659" s="154" t="s">
        <v>94</v>
      </c>
      <c r="C659" s="154" t="s">
        <v>94</v>
      </c>
      <c r="D659" s="1"/>
      <c r="E659" s="1"/>
      <c r="F659" s="1"/>
      <c r="G659" s="1"/>
    </row>
    <row r="660" spans="1:7" ht="28" x14ac:dyDescent="0.35">
      <c r="A660" s="154" t="s">
        <v>1794</v>
      </c>
      <c r="B660" s="154" t="s">
        <v>94</v>
      </c>
      <c r="C660" s="154" t="s">
        <v>94</v>
      </c>
      <c r="D660" s="1"/>
      <c r="E660" s="1"/>
      <c r="F660" s="1"/>
      <c r="G660" s="1"/>
    </row>
    <row r="661" spans="1:7" ht="28" x14ac:dyDescent="0.35">
      <c r="A661" s="154" t="s">
        <v>1794</v>
      </c>
      <c r="B661" s="154" t="s">
        <v>96</v>
      </c>
      <c r="C661" s="154" t="s">
        <v>96</v>
      </c>
      <c r="D661" s="1"/>
      <c r="E661" s="1"/>
      <c r="F661" s="1"/>
      <c r="G661" s="1"/>
    </row>
    <row r="662" spans="1:7" ht="28" x14ac:dyDescent="0.35">
      <c r="A662" s="154" t="s">
        <v>1794</v>
      </c>
      <c r="B662" s="154" t="s">
        <v>96</v>
      </c>
      <c r="C662" s="154" t="s">
        <v>96</v>
      </c>
      <c r="D662" s="1"/>
      <c r="E662" s="1"/>
      <c r="F662" s="1"/>
      <c r="G662" s="1"/>
    </row>
    <row r="663" spans="1:7" ht="28" x14ac:dyDescent="0.35">
      <c r="A663" s="154" t="s">
        <v>1794</v>
      </c>
      <c r="B663" s="154" t="s">
        <v>96</v>
      </c>
      <c r="C663" s="154" t="s">
        <v>96</v>
      </c>
      <c r="D663" s="1"/>
      <c r="E663" s="1"/>
      <c r="F663" s="1"/>
      <c r="G663" s="1"/>
    </row>
    <row r="664" spans="1:7" ht="28" x14ac:dyDescent="0.35">
      <c r="A664" s="154" t="s">
        <v>1794</v>
      </c>
      <c r="B664" s="154" t="s">
        <v>96</v>
      </c>
      <c r="C664" s="154" t="s">
        <v>96</v>
      </c>
      <c r="D664" s="1"/>
      <c r="E664" s="1"/>
      <c r="F664" s="1"/>
      <c r="G664" s="1"/>
    </row>
    <row r="665" spans="1:7" ht="28" x14ac:dyDescent="0.35">
      <c r="A665" s="154" t="s">
        <v>1794</v>
      </c>
      <c r="B665" s="154" t="s">
        <v>96</v>
      </c>
      <c r="C665" s="154" t="s">
        <v>96</v>
      </c>
      <c r="D665" s="1"/>
      <c r="E665" s="1"/>
      <c r="F665" s="1"/>
      <c r="G665" s="1"/>
    </row>
    <row r="666" spans="1:7" ht="28" x14ac:dyDescent="0.35">
      <c r="A666" s="154" t="s">
        <v>1794</v>
      </c>
      <c r="B666" s="154" t="s">
        <v>96</v>
      </c>
      <c r="C666" s="154" t="s">
        <v>96</v>
      </c>
      <c r="D666" s="1"/>
      <c r="E666" s="1"/>
      <c r="F666" s="1"/>
      <c r="G666" s="1"/>
    </row>
    <row r="667" spans="1:7" ht="28" x14ac:dyDescent="0.35">
      <c r="A667" s="154" t="s">
        <v>1794</v>
      </c>
      <c r="B667" s="154" t="s">
        <v>96</v>
      </c>
      <c r="C667" s="154" t="s">
        <v>96</v>
      </c>
      <c r="D667" s="1"/>
      <c r="E667" s="1"/>
      <c r="F667" s="1"/>
      <c r="G667" s="1"/>
    </row>
    <row r="668" spans="1:7" ht="28" x14ac:dyDescent="0.35">
      <c r="A668" s="154" t="s">
        <v>1794</v>
      </c>
      <c r="B668" s="154" t="s">
        <v>96</v>
      </c>
      <c r="C668" s="154" t="s">
        <v>96</v>
      </c>
      <c r="D668" s="1"/>
      <c r="E668" s="1"/>
      <c r="F668" s="1"/>
      <c r="G668" s="1"/>
    </row>
    <row r="669" spans="1:7" ht="28" x14ac:dyDescent="0.35">
      <c r="A669" s="154" t="s">
        <v>1794</v>
      </c>
      <c r="B669" s="154" t="s">
        <v>96</v>
      </c>
      <c r="C669" s="154" t="s">
        <v>96</v>
      </c>
      <c r="D669" s="1"/>
      <c r="E669" s="1"/>
      <c r="F669" s="1"/>
      <c r="G669" s="1"/>
    </row>
    <row r="670" spans="1:7" ht="28" x14ac:dyDescent="0.35">
      <c r="A670" s="154" t="s">
        <v>1794</v>
      </c>
      <c r="B670" s="154" t="s">
        <v>99</v>
      </c>
      <c r="C670" s="154" t="s">
        <v>99</v>
      </c>
      <c r="D670" s="1"/>
      <c r="E670" s="1"/>
      <c r="F670" s="1"/>
      <c r="G670" s="1"/>
    </row>
    <row r="671" spans="1:7" ht="28" x14ac:dyDescent="0.35">
      <c r="A671" s="154" t="s">
        <v>1794</v>
      </c>
      <c r="B671" s="154" t="s">
        <v>99</v>
      </c>
      <c r="C671" s="154" t="s">
        <v>99</v>
      </c>
      <c r="D671" s="1"/>
      <c r="E671" s="1"/>
      <c r="F671" s="1"/>
      <c r="G671" s="1"/>
    </row>
    <row r="672" spans="1:7" ht="28" x14ac:dyDescent="0.35">
      <c r="A672" s="154" t="s">
        <v>1794</v>
      </c>
      <c r="B672" s="154" t="s">
        <v>99</v>
      </c>
      <c r="C672" s="154" t="s">
        <v>99</v>
      </c>
      <c r="D672" s="1"/>
      <c r="E672" s="1"/>
      <c r="F672" s="1"/>
      <c r="G672" s="1"/>
    </row>
    <row r="673" spans="1:7" ht="28" x14ac:dyDescent="0.35">
      <c r="A673" s="154" t="s">
        <v>1794</v>
      </c>
      <c r="B673" s="154" t="s">
        <v>99</v>
      </c>
      <c r="C673" s="154" t="s">
        <v>99</v>
      </c>
      <c r="D673" s="1"/>
      <c r="E673" s="1"/>
      <c r="F673" s="1"/>
      <c r="G673" s="1"/>
    </row>
    <row r="674" spans="1:7" ht="70" x14ac:dyDescent="0.35">
      <c r="A674" s="154" t="s">
        <v>1795</v>
      </c>
      <c r="B674" s="154" t="s">
        <v>102</v>
      </c>
      <c r="C674" s="154" t="s">
        <v>102</v>
      </c>
      <c r="D674" s="1"/>
      <c r="E674" s="1"/>
      <c r="F674" s="1"/>
      <c r="G674" s="1"/>
    </row>
    <row r="675" spans="1:7" ht="70" x14ac:dyDescent="0.35">
      <c r="A675" s="154" t="s">
        <v>1795</v>
      </c>
      <c r="B675" s="154" t="s">
        <v>102</v>
      </c>
      <c r="C675" s="154" t="s">
        <v>102</v>
      </c>
      <c r="D675" s="1"/>
      <c r="E675" s="1"/>
      <c r="F675" s="1"/>
      <c r="G675" s="1"/>
    </row>
    <row r="676" spans="1:7" ht="70" x14ac:dyDescent="0.35">
      <c r="A676" s="154" t="s">
        <v>1795</v>
      </c>
      <c r="B676" s="154" t="s">
        <v>102</v>
      </c>
      <c r="C676" s="154" t="s">
        <v>102</v>
      </c>
      <c r="D676" s="1"/>
      <c r="E676" s="1"/>
      <c r="F676" s="1"/>
      <c r="G676" s="1"/>
    </row>
    <row r="677" spans="1:7" ht="70" x14ac:dyDescent="0.35">
      <c r="A677" s="154" t="s">
        <v>1795</v>
      </c>
      <c r="B677" s="154" t="s">
        <v>102</v>
      </c>
      <c r="C677" s="154" t="s">
        <v>102</v>
      </c>
      <c r="D677" s="1"/>
      <c r="E677" s="1"/>
      <c r="F677" s="1"/>
      <c r="G677" s="1"/>
    </row>
    <row r="678" spans="1:7" ht="70" x14ac:dyDescent="0.35">
      <c r="A678" s="154" t="s">
        <v>1795</v>
      </c>
      <c r="B678" s="154" t="s">
        <v>102</v>
      </c>
      <c r="C678" s="154" t="s">
        <v>102</v>
      </c>
      <c r="D678" s="1"/>
      <c r="E678" s="1"/>
      <c r="F678" s="1"/>
      <c r="G678" s="1"/>
    </row>
    <row r="679" spans="1:7" ht="70" x14ac:dyDescent="0.35">
      <c r="A679" s="154" t="s">
        <v>1795</v>
      </c>
      <c r="B679" s="154" t="s">
        <v>102</v>
      </c>
      <c r="C679" s="154" t="s">
        <v>102</v>
      </c>
      <c r="D679" s="1"/>
      <c r="E679" s="1"/>
      <c r="F679" s="1"/>
      <c r="G679" s="1"/>
    </row>
    <row r="680" spans="1:7" ht="70" x14ac:dyDescent="0.35">
      <c r="A680" s="154" t="s">
        <v>1795</v>
      </c>
      <c r="B680" s="154" t="s">
        <v>102</v>
      </c>
      <c r="C680" s="154" t="s">
        <v>102</v>
      </c>
      <c r="D680" s="1"/>
      <c r="E680" s="1"/>
      <c r="F680" s="1"/>
      <c r="G680" s="1"/>
    </row>
    <row r="681" spans="1:7" ht="70" x14ac:dyDescent="0.35">
      <c r="A681" s="154" t="s">
        <v>1795</v>
      </c>
      <c r="B681" s="154" t="s">
        <v>102</v>
      </c>
      <c r="C681" s="154" t="s">
        <v>102</v>
      </c>
      <c r="D681" s="1"/>
      <c r="E681" s="1"/>
      <c r="F681" s="1"/>
      <c r="G681" s="1"/>
    </row>
    <row r="682" spans="1:7" ht="70" x14ac:dyDescent="0.35">
      <c r="A682" s="154" t="s">
        <v>1795</v>
      </c>
      <c r="B682" s="154" t="s">
        <v>102</v>
      </c>
      <c r="C682" s="154" t="s">
        <v>102</v>
      </c>
      <c r="D682" s="1"/>
      <c r="E682" s="1"/>
      <c r="F682" s="1"/>
      <c r="G682" s="1"/>
    </row>
    <row r="683" spans="1:7" ht="70" x14ac:dyDescent="0.35">
      <c r="A683" s="154" t="s">
        <v>1795</v>
      </c>
      <c r="B683" s="154" t="s">
        <v>102</v>
      </c>
      <c r="C683" s="154" t="s">
        <v>102</v>
      </c>
      <c r="D683" s="1"/>
      <c r="E683" s="1"/>
      <c r="F683" s="1"/>
      <c r="G683" s="1"/>
    </row>
    <row r="684" spans="1:7" ht="56" x14ac:dyDescent="0.35">
      <c r="A684" s="154" t="s">
        <v>1795</v>
      </c>
      <c r="B684" s="154" t="s">
        <v>1192</v>
      </c>
      <c r="C684" s="154" t="s">
        <v>1192</v>
      </c>
      <c r="D684" s="1"/>
      <c r="E684" s="1"/>
      <c r="F684" s="1"/>
      <c r="G684" s="1"/>
    </row>
    <row r="685" spans="1:7" ht="56" x14ac:dyDescent="0.35">
      <c r="A685" s="154" t="s">
        <v>1795</v>
      </c>
      <c r="B685" s="154" t="s">
        <v>1192</v>
      </c>
      <c r="C685" s="154" t="s">
        <v>1192</v>
      </c>
      <c r="D685" s="1"/>
      <c r="E685" s="1"/>
      <c r="F685" s="1"/>
      <c r="G685" s="1"/>
    </row>
    <row r="686" spans="1:7" ht="56" x14ac:dyDescent="0.35">
      <c r="A686" s="154" t="s">
        <v>1795</v>
      </c>
      <c r="B686" s="154" t="s">
        <v>1192</v>
      </c>
      <c r="C686" s="154" t="s">
        <v>1192</v>
      </c>
      <c r="D686" s="1"/>
      <c r="E686" s="1"/>
      <c r="F686" s="1"/>
      <c r="G686" s="1"/>
    </row>
    <row r="687" spans="1:7" ht="56" x14ac:dyDescent="0.35">
      <c r="A687" s="154" t="s">
        <v>1795</v>
      </c>
      <c r="B687" s="154" t="s">
        <v>1192</v>
      </c>
      <c r="C687" s="154" t="s">
        <v>1192</v>
      </c>
      <c r="D687" s="1"/>
      <c r="E687" s="1"/>
      <c r="F687" s="1"/>
      <c r="G687" s="1"/>
    </row>
    <row r="688" spans="1:7" ht="56" x14ac:dyDescent="0.35">
      <c r="A688" s="154" t="s">
        <v>1795</v>
      </c>
      <c r="B688" s="154" t="s">
        <v>1192</v>
      </c>
      <c r="C688" s="154" t="s">
        <v>1192</v>
      </c>
      <c r="D688" s="1"/>
      <c r="E688" s="1"/>
      <c r="F688" s="1"/>
      <c r="G688" s="1"/>
    </row>
    <row r="689" spans="1:7" ht="56" x14ac:dyDescent="0.35">
      <c r="A689" s="154" t="s">
        <v>1795</v>
      </c>
      <c r="B689" s="154" t="s">
        <v>1192</v>
      </c>
      <c r="C689" s="154" t="s">
        <v>1192</v>
      </c>
      <c r="D689" s="1"/>
      <c r="E689" s="1"/>
      <c r="F689" s="1"/>
      <c r="G689" s="1"/>
    </row>
    <row r="690" spans="1:7" ht="56" x14ac:dyDescent="0.35">
      <c r="A690" s="154" t="s">
        <v>1795</v>
      </c>
      <c r="B690" s="154" t="s">
        <v>1192</v>
      </c>
      <c r="C690" s="154" t="s">
        <v>1192</v>
      </c>
      <c r="D690" s="1"/>
      <c r="E690" s="1"/>
      <c r="F690" s="1"/>
      <c r="G690" s="1"/>
    </row>
    <row r="691" spans="1:7" ht="56" x14ac:dyDescent="0.35">
      <c r="A691" s="154" t="s">
        <v>1795</v>
      </c>
      <c r="B691" s="154" t="s">
        <v>1192</v>
      </c>
      <c r="C691" s="154" t="s">
        <v>1192</v>
      </c>
      <c r="D691" s="1"/>
      <c r="E691" s="1"/>
      <c r="F691" s="1"/>
      <c r="G691" s="1"/>
    </row>
    <row r="692" spans="1:7" ht="56" x14ac:dyDescent="0.35">
      <c r="A692" s="154" t="s">
        <v>1795</v>
      </c>
      <c r="B692" s="154" t="s">
        <v>1192</v>
      </c>
      <c r="C692" s="154" t="s">
        <v>1192</v>
      </c>
      <c r="D692" s="1"/>
      <c r="E692" s="1"/>
      <c r="F692" s="1"/>
      <c r="G692" s="1"/>
    </row>
    <row r="693" spans="1:7" ht="56" x14ac:dyDescent="0.35">
      <c r="A693" s="154" t="s">
        <v>1795</v>
      </c>
      <c r="B693" s="154" t="s">
        <v>1192</v>
      </c>
      <c r="C693" s="154" t="s">
        <v>1192</v>
      </c>
      <c r="D693" s="1"/>
      <c r="E693" s="1"/>
      <c r="F693" s="1"/>
      <c r="G693" s="1"/>
    </row>
    <row r="694" spans="1:7" ht="70" x14ac:dyDescent="0.35">
      <c r="A694" s="154" t="s">
        <v>1795</v>
      </c>
      <c r="B694" s="154" t="s">
        <v>105</v>
      </c>
      <c r="C694" s="154" t="s">
        <v>105</v>
      </c>
      <c r="D694" s="1"/>
      <c r="E694" s="1"/>
      <c r="F694" s="1"/>
      <c r="G694" s="1"/>
    </row>
    <row r="695" spans="1:7" ht="70" x14ac:dyDescent="0.35">
      <c r="A695" s="154" t="s">
        <v>1795</v>
      </c>
      <c r="B695" s="154" t="s">
        <v>105</v>
      </c>
      <c r="C695" s="154" t="s">
        <v>105</v>
      </c>
      <c r="D695" s="1"/>
      <c r="E695" s="1"/>
      <c r="F695" s="1"/>
      <c r="G695" s="1"/>
    </row>
    <row r="696" spans="1:7" ht="70" x14ac:dyDescent="0.35">
      <c r="A696" s="154" t="s">
        <v>1795</v>
      </c>
      <c r="B696" s="154" t="s">
        <v>105</v>
      </c>
      <c r="C696" s="154" t="s">
        <v>105</v>
      </c>
      <c r="D696" s="1"/>
      <c r="E696" s="1"/>
      <c r="F696" s="1"/>
      <c r="G696" s="1"/>
    </row>
    <row r="697" spans="1:7" ht="70" x14ac:dyDescent="0.35">
      <c r="A697" s="154" t="s">
        <v>1795</v>
      </c>
      <c r="B697" s="154" t="s">
        <v>105</v>
      </c>
      <c r="C697" s="154" t="s">
        <v>105</v>
      </c>
      <c r="D697" s="1"/>
      <c r="E697" s="1"/>
      <c r="F697" s="1"/>
      <c r="G697" s="1"/>
    </row>
    <row r="698" spans="1:7" ht="42" x14ac:dyDescent="0.35">
      <c r="A698" s="154" t="s">
        <v>1795</v>
      </c>
      <c r="B698" s="154" t="s">
        <v>106</v>
      </c>
      <c r="C698" s="154" t="s">
        <v>106</v>
      </c>
      <c r="D698" s="1"/>
      <c r="E698" s="1"/>
      <c r="F698" s="1"/>
      <c r="G698" s="1"/>
    </row>
    <row r="699" spans="1:7" ht="42" x14ac:dyDescent="0.35">
      <c r="A699" s="154" t="s">
        <v>1795</v>
      </c>
      <c r="B699" s="154" t="s">
        <v>106</v>
      </c>
      <c r="C699" s="154" t="s">
        <v>106</v>
      </c>
      <c r="D699" s="1"/>
      <c r="E699" s="1"/>
      <c r="F699" s="1"/>
      <c r="G699" s="1"/>
    </row>
    <row r="700" spans="1:7" ht="42" x14ac:dyDescent="0.35">
      <c r="A700" s="154" t="s">
        <v>1795</v>
      </c>
      <c r="B700" s="154" t="s">
        <v>106</v>
      </c>
      <c r="C700" s="154" t="s">
        <v>106</v>
      </c>
      <c r="D700" s="1"/>
      <c r="E700" s="1"/>
      <c r="F700" s="1"/>
      <c r="G700" s="1"/>
    </row>
    <row r="701" spans="1:7" ht="42" x14ac:dyDescent="0.35">
      <c r="A701" s="154" t="s">
        <v>1795</v>
      </c>
      <c r="B701" s="154" t="s">
        <v>106</v>
      </c>
      <c r="C701" s="154" t="s">
        <v>106</v>
      </c>
      <c r="D701" s="1"/>
      <c r="E701" s="1"/>
      <c r="F701" s="1"/>
      <c r="G701" s="1"/>
    </row>
    <row r="702" spans="1:7" ht="42" x14ac:dyDescent="0.35">
      <c r="A702" s="154" t="s">
        <v>1795</v>
      </c>
      <c r="B702" s="154" t="s">
        <v>107</v>
      </c>
      <c r="C702" s="154" t="s">
        <v>107</v>
      </c>
      <c r="D702" s="1"/>
      <c r="E702" s="1"/>
      <c r="F702" s="1"/>
      <c r="G702" s="1"/>
    </row>
    <row r="703" spans="1:7" ht="42" x14ac:dyDescent="0.35">
      <c r="A703" s="154" t="s">
        <v>1795</v>
      </c>
      <c r="B703" s="154" t="s">
        <v>107</v>
      </c>
      <c r="C703" s="154" t="s">
        <v>107</v>
      </c>
      <c r="D703" s="1"/>
      <c r="E703" s="1"/>
      <c r="F703" s="1"/>
      <c r="G703" s="1"/>
    </row>
    <row r="704" spans="1:7" ht="42" x14ac:dyDescent="0.35">
      <c r="A704" s="154" t="s">
        <v>1795</v>
      </c>
      <c r="B704" s="154" t="s">
        <v>107</v>
      </c>
      <c r="C704" s="154" t="s">
        <v>107</v>
      </c>
      <c r="D704" s="1"/>
      <c r="E704" s="1"/>
      <c r="F704" s="1"/>
      <c r="G704" s="1"/>
    </row>
    <row r="705" spans="1:7" ht="42" x14ac:dyDescent="0.35">
      <c r="A705" s="154" t="s">
        <v>1795</v>
      </c>
      <c r="B705" s="154" t="s">
        <v>108</v>
      </c>
      <c r="C705" s="154" t="s">
        <v>108</v>
      </c>
      <c r="D705" s="1"/>
      <c r="E705" s="1"/>
      <c r="F705" s="1"/>
      <c r="G705" s="1"/>
    </row>
    <row r="706" spans="1:7" ht="42" x14ac:dyDescent="0.35">
      <c r="A706" s="154" t="s">
        <v>1795</v>
      </c>
      <c r="B706" s="154" t="s">
        <v>108</v>
      </c>
      <c r="C706" s="154" t="s">
        <v>108</v>
      </c>
      <c r="D706" s="1"/>
      <c r="E706" s="1"/>
      <c r="F706" s="1"/>
      <c r="G706" s="1"/>
    </row>
    <row r="707" spans="1:7" ht="42" x14ac:dyDescent="0.35">
      <c r="A707" s="154" t="s">
        <v>1795</v>
      </c>
      <c r="B707" s="154" t="s">
        <v>108</v>
      </c>
      <c r="C707" s="154" t="s">
        <v>108</v>
      </c>
      <c r="D707" s="1"/>
      <c r="E707" s="1"/>
      <c r="F707" s="1"/>
      <c r="G707" s="1"/>
    </row>
    <row r="708" spans="1:7" ht="42" x14ac:dyDescent="0.35">
      <c r="A708" s="154" t="s">
        <v>1795</v>
      </c>
      <c r="B708" s="154" t="s">
        <v>110</v>
      </c>
      <c r="C708" s="154" t="s">
        <v>110</v>
      </c>
      <c r="D708" s="1"/>
      <c r="E708" s="1"/>
      <c r="F708" s="1"/>
      <c r="G708" s="1"/>
    </row>
    <row r="709" spans="1:7" ht="42" x14ac:dyDescent="0.35">
      <c r="A709" s="154" t="s">
        <v>1795</v>
      </c>
      <c r="B709" s="154" t="s">
        <v>110</v>
      </c>
      <c r="C709" s="154" t="s">
        <v>110</v>
      </c>
      <c r="D709" s="1"/>
      <c r="E709" s="1"/>
      <c r="F709" s="1"/>
      <c r="G709" s="1"/>
    </row>
    <row r="710" spans="1:7" ht="42" x14ac:dyDescent="0.35">
      <c r="A710" s="154" t="s">
        <v>1795</v>
      </c>
      <c r="B710" s="154" t="s">
        <v>112</v>
      </c>
      <c r="C710" s="154" t="s">
        <v>112</v>
      </c>
      <c r="D710" s="1"/>
      <c r="E710" s="1"/>
      <c r="F710" s="1"/>
      <c r="G710" s="1"/>
    </row>
    <row r="711" spans="1:7" ht="42" x14ac:dyDescent="0.35">
      <c r="A711" s="154" t="s">
        <v>1795</v>
      </c>
      <c r="B711" s="154" t="s">
        <v>112</v>
      </c>
      <c r="C711" s="154" t="s">
        <v>112</v>
      </c>
      <c r="D711" s="1"/>
      <c r="E711" s="1"/>
      <c r="F711" s="1"/>
      <c r="G711" s="1"/>
    </row>
    <row r="712" spans="1:7" ht="42" x14ac:dyDescent="0.35">
      <c r="A712" s="154" t="s">
        <v>1795</v>
      </c>
      <c r="B712" s="154" t="s">
        <v>112</v>
      </c>
      <c r="C712" s="154" t="s">
        <v>112</v>
      </c>
      <c r="D712" s="1"/>
      <c r="E712" s="1"/>
      <c r="F712" s="1"/>
      <c r="G712" s="1"/>
    </row>
    <row r="713" spans="1:7" ht="42" x14ac:dyDescent="0.35">
      <c r="A713" s="154" t="s">
        <v>1795</v>
      </c>
      <c r="B713" s="154" t="s">
        <v>112</v>
      </c>
      <c r="C713" s="154" t="s">
        <v>112</v>
      </c>
      <c r="D713" s="1"/>
      <c r="E713" s="1"/>
      <c r="F713" s="1"/>
      <c r="G713" s="1"/>
    </row>
    <row r="714" spans="1:7" ht="56" x14ac:dyDescent="0.35">
      <c r="A714" s="154" t="s">
        <v>1795</v>
      </c>
      <c r="B714" s="154" t="s">
        <v>114</v>
      </c>
      <c r="C714" s="154" t="s">
        <v>114</v>
      </c>
      <c r="D714" s="1"/>
      <c r="E714" s="1"/>
      <c r="F714" s="1"/>
      <c r="G714" s="1"/>
    </row>
    <row r="715" spans="1:7" ht="56" x14ac:dyDescent="0.35">
      <c r="A715" s="154" t="s">
        <v>1795</v>
      </c>
      <c r="B715" s="154" t="s">
        <v>114</v>
      </c>
      <c r="C715" s="154" t="s">
        <v>114</v>
      </c>
      <c r="D715" s="1"/>
      <c r="E715" s="1"/>
      <c r="F715" s="1"/>
      <c r="G715" s="1"/>
    </row>
    <row r="716" spans="1:7" ht="70" x14ac:dyDescent="0.35">
      <c r="A716" s="154" t="s">
        <v>1795</v>
      </c>
      <c r="B716" s="154" t="s">
        <v>116</v>
      </c>
      <c r="C716" s="154" t="s">
        <v>116</v>
      </c>
      <c r="D716" s="1"/>
      <c r="E716" s="1"/>
      <c r="F716" s="1"/>
      <c r="G716" s="1"/>
    </row>
    <row r="717" spans="1:7" ht="42" x14ac:dyDescent="0.35">
      <c r="A717" s="154" t="s">
        <v>1795</v>
      </c>
      <c r="B717" s="154" t="s">
        <v>118</v>
      </c>
      <c r="C717" s="154" t="s">
        <v>118</v>
      </c>
      <c r="D717" s="1"/>
      <c r="E717" s="1"/>
      <c r="F717" s="1"/>
      <c r="G717" s="1"/>
    </row>
    <row r="718" spans="1:7" ht="42" x14ac:dyDescent="0.35">
      <c r="A718" s="154" t="s">
        <v>1795</v>
      </c>
      <c r="B718" s="154" t="s">
        <v>118</v>
      </c>
      <c r="C718" s="154" t="s">
        <v>118</v>
      </c>
      <c r="D718" s="1"/>
      <c r="E718" s="1"/>
      <c r="F718" s="1"/>
      <c r="G718" s="1"/>
    </row>
    <row r="719" spans="1:7" ht="56" x14ac:dyDescent="0.35">
      <c r="A719" s="154" t="s">
        <v>1795</v>
      </c>
      <c r="B719" s="154" t="s">
        <v>120</v>
      </c>
      <c r="C719" s="154" t="s">
        <v>120</v>
      </c>
      <c r="D719" s="1"/>
      <c r="E719" s="1"/>
      <c r="F719" s="1"/>
      <c r="G719" s="1"/>
    </row>
    <row r="720" spans="1:7" ht="56" x14ac:dyDescent="0.35">
      <c r="A720" s="154" t="s">
        <v>1795</v>
      </c>
      <c r="B720" s="154" t="s">
        <v>120</v>
      </c>
      <c r="C720" s="154" t="s">
        <v>120</v>
      </c>
      <c r="D720" s="1"/>
      <c r="E720" s="1"/>
      <c r="F720" s="1"/>
      <c r="G720" s="1"/>
    </row>
    <row r="721" spans="1:7" ht="56" x14ac:dyDescent="0.35">
      <c r="A721" s="154" t="s">
        <v>1795</v>
      </c>
      <c r="B721" s="154" t="s">
        <v>120</v>
      </c>
      <c r="C721" s="154" t="s">
        <v>120</v>
      </c>
      <c r="D721" s="1"/>
      <c r="E721" s="1"/>
      <c r="F721" s="1"/>
      <c r="G721" s="1"/>
    </row>
    <row r="722" spans="1:7" ht="56" x14ac:dyDescent="0.35">
      <c r="A722" s="154" t="s">
        <v>1795</v>
      </c>
      <c r="B722" s="154" t="s">
        <v>122</v>
      </c>
      <c r="C722" s="154" t="s">
        <v>122</v>
      </c>
      <c r="D722" s="1"/>
      <c r="E722" s="1"/>
      <c r="F722" s="1"/>
      <c r="G722" s="1"/>
    </row>
    <row r="723" spans="1:7" ht="56" x14ac:dyDescent="0.35">
      <c r="A723" s="154" t="s">
        <v>1795</v>
      </c>
      <c r="B723" s="154" t="s">
        <v>122</v>
      </c>
      <c r="C723" s="154" t="s">
        <v>122</v>
      </c>
      <c r="D723" s="1"/>
      <c r="E723" s="1"/>
      <c r="F723" s="1"/>
      <c r="G723" s="1"/>
    </row>
    <row r="724" spans="1:7" ht="70" x14ac:dyDescent="0.35">
      <c r="A724" s="154" t="s">
        <v>29</v>
      </c>
      <c r="B724" s="154" t="s">
        <v>125</v>
      </c>
      <c r="C724" s="154" t="s">
        <v>125</v>
      </c>
      <c r="D724" s="1"/>
      <c r="E724" s="1"/>
      <c r="F724" s="1"/>
      <c r="G724" s="1"/>
    </row>
    <row r="725" spans="1:7" ht="70" x14ac:dyDescent="0.35">
      <c r="A725" s="154" t="s">
        <v>29</v>
      </c>
      <c r="B725" s="154" t="s">
        <v>125</v>
      </c>
      <c r="C725" s="154" t="s">
        <v>125</v>
      </c>
      <c r="D725" s="1"/>
      <c r="E725" s="1"/>
      <c r="F725" s="1"/>
      <c r="G725" s="1"/>
    </row>
    <row r="726" spans="1:7" ht="70" x14ac:dyDescent="0.35">
      <c r="A726" s="154" t="s">
        <v>29</v>
      </c>
      <c r="B726" s="154" t="s">
        <v>125</v>
      </c>
      <c r="C726" s="154" t="s">
        <v>125</v>
      </c>
      <c r="D726" s="1"/>
      <c r="E726" s="1"/>
      <c r="F726" s="1"/>
      <c r="G726" s="1"/>
    </row>
    <row r="727" spans="1:7" ht="70" x14ac:dyDescent="0.35">
      <c r="A727" s="154" t="s">
        <v>29</v>
      </c>
      <c r="B727" s="154" t="s">
        <v>125</v>
      </c>
      <c r="C727" s="154" t="s">
        <v>125</v>
      </c>
      <c r="D727" s="1"/>
      <c r="E727" s="1"/>
      <c r="F727" s="1"/>
      <c r="G727" s="1"/>
    </row>
    <row r="728" spans="1:7" ht="70" x14ac:dyDescent="0.35">
      <c r="A728" s="154" t="s">
        <v>29</v>
      </c>
      <c r="B728" s="154" t="s">
        <v>125</v>
      </c>
      <c r="C728" s="154" t="s">
        <v>125</v>
      </c>
      <c r="D728" s="1"/>
      <c r="E728" s="1"/>
      <c r="F728" s="1"/>
      <c r="G728" s="1"/>
    </row>
    <row r="729" spans="1:7" ht="70" x14ac:dyDescent="0.35">
      <c r="A729" s="154" t="s">
        <v>29</v>
      </c>
      <c r="B729" s="154" t="s">
        <v>125</v>
      </c>
      <c r="C729" s="154" t="s">
        <v>125</v>
      </c>
      <c r="D729" s="1"/>
      <c r="E729" s="1"/>
      <c r="F729" s="1"/>
      <c r="G729" s="1"/>
    </row>
    <row r="730" spans="1:7" ht="70" x14ac:dyDescent="0.35">
      <c r="A730" s="154" t="s">
        <v>29</v>
      </c>
      <c r="B730" s="154" t="s">
        <v>125</v>
      </c>
      <c r="C730" s="154" t="s">
        <v>125</v>
      </c>
      <c r="D730" s="1"/>
      <c r="E730" s="1"/>
      <c r="F730" s="1"/>
      <c r="G730" s="1"/>
    </row>
    <row r="731" spans="1:7" ht="70" x14ac:dyDescent="0.35">
      <c r="A731" s="154" t="s">
        <v>29</v>
      </c>
      <c r="B731" s="154" t="s">
        <v>125</v>
      </c>
      <c r="C731" s="154" t="s">
        <v>125</v>
      </c>
      <c r="D731" s="1"/>
      <c r="E731" s="1"/>
      <c r="F731" s="1"/>
      <c r="G731" s="1"/>
    </row>
    <row r="732" spans="1:7" ht="70" x14ac:dyDescent="0.35">
      <c r="A732" s="154" t="s">
        <v>29</v>
      </c>
      <c r="B732" s="154" t="s">
        <v>125</v>
      </c>
      <c r="C732" s="154" t="s">
        <v>125</v>
      </c>
      <c r="D732" s="1"/>
      <c r="E732" s="1"/>
      <c r="F732" s="1"/>
      <c r="G732" s="1"/>
    </row>
    <row r="733" spans="1:7" ht="70" x14ac:dyDescent="0.35">
      <c r="A733" s="154" t="s">
        <v>29</v>
      </c>
      <c r="B733" s="154" t="s">
        <v>125</v>
      </c>
      <c r="C733" s="154" t="s">
        <v>125</v>
      </c>
      <c r="D733" s="1"/>
      <c r="E733" s="1"/>
      <c r="F733" s="1"/>
      <c r="G733" s="1"/>
    </row>
    <row r="734" spans="1:7" ht="70" x14ac:dyDescent="0.35">
      <c r="A734" s="154" t="s">
        <v>29</v>
      </c>
      <c r="B734" s="154" t="s">
        <v>125</v>
      </c>
      <c r="C734" s="154" t="s">
        <v>125</v>
      </c>
      <c r="D734" s="1"/>
      <c r="E734" s="1"/>
      <c r="F734" s="1"/>
      <c r="G734" s="1"/>
    </row>
    <row r="735" spans="1:7" ht="70" x14ac:dyDescent="0.35">
      <c r="A735" s="154" t="s">
        <v>29</v>
      </c>
      <c r="B735" s="154" t="s">
        <v>125</v>
      </c>
      <c r="C735" s="154" t="s">
        <v>125</v>
      </c>
      <c r="D735" s="1"/>
      <c r="E735" s="1"/>
      <c r="F735" s="1"/>
      <c r="G735" s="1"/>
    </row>
    <row r="736" spans="1:7" ht="42" x14ac:dyDescent="0.35">
      <c r="A736" s="154" t="s">
        <v>29</v>
      </c>
      <c r="B736" s="154" t="s">
        <v>103</v>
      </c>
      <c r="C736" s="154" t="s">
        <v>103</v>
      </c>
      <c r="D736" s="1"/>
      <c r="E736" s="1"/>
      <c r="F736" s="1"/>
      <c r="G736" s="1"/>
    </row>
    <row r="737" spans="1:7" ht="42" x14ac:dyDescent="0.35">
      <c r="A737" s="154" t="s">
        <v>29</v>
      </c>
      <c r="B737" s="154" t="s">
        <v>103</v>
      </c>
      <c r="C737" s="154" t="s">
        <v>103</v>
      </c>
      <c r="D737" s="1"/>
      <c r="E737" s="1"/>
      <c r="F737" s="1"/>
      <c r="G737" s="1"/>
    </row>
    <row r="738" spans="1:7" ht="42" x14ac:dyDescent="0.35">
      <c r="A738" s="154" t="s">
        <v>29</v>
      </c>
      <c r="B738" s="154" t="s">
        <v>103</v>
      </c>
      <c r="C738" s="154" t="s">
        <v>103</v>
      </c>
      <c r="D738" s="1"/>
      <c r="E738" s="1"/>
      <c r="F738" s="1"/>
      <c r="G738" s="1"/>
    </row>
    <row r="739" spans="1:7" ht="42" x14ac:dyDescent="0.35">
      <c r="A739" s="154" t="s">
        <v>29</v>
      </c>
      <c r="B739" s="154" t="s">
        <v>103</v>
      </c>
      <c r="C739" s="154" t="s">
        <v>103</v>
      </c>
      <c r="D739" s="1"/>
      <c r="E739" s="1"/>
      <c r="F739" s="1"/>
      <c r="G739" s="1"/>
    </row>
    <row r="740" spans="1:7" ht="42" x14ac:dyDescent="0.35">
      <c r="A740" s="154" t="s">
        <v>29</v>
      </c>
      <c r="B740" s="154" t="s">
        <v>103</v>
      </c>
      <c r="C740" s="154" t="s">
        <v>103</v>
      </c>
      <c r="D740" s="1"/>
      <c r="E740" s="1"/>
      <c r="F740" s="1"/>
      <c r="G740" s="1"/>
    </row>
    <row r="741" spans="1:7" ht="42" x14ac:dyDescent="0.35">
      <c r="A741" s="154" t="s">
        <v>29</v>
      </c>
      <c r="B741" s="154" t="s">
        <v>103</v>
      </c>
      <c r="C741" s="154" t="s">
        <v>103</v>
      </c>
      <c r="D741" s="1"/>
      <c r="E741" s="1"/>
      <c r="F741" s="1"/>
      <c r="G741" s="1"/>
    </row>
    <row r="742" spans="1:7" ht="42" x14ac:dyDescent="0.35">
      <c r="A742" s="154" t="s">
        <v>29</v>
      </c>
      <c r="B742" s="154" t="s">
        <v>103</v>
      </c>
      <c r="C742" s="154" t="s">
        <v>103</v>
      </c>
      <c r="D742" s="1"/>
      <c r="E742" s="1"/>
      <c r="F742" s="1"/>
      <c r="G742" s="1"/>
    </row>
    <row r="743" spans="1:7" ht="42" x14ac:dyDescent="0.35">
      <c r="A743" s="154" t="s">
        <v>29</v>
      </c>
      <c r="B743" s="154" t="s">
        <v>103</v>
      </c>
      <c r="C743" s="154" t="s">
        <v>103</v>
      </c>
      <c r="D743" s="1"/>
      <c r="E743" s="1"/>
      <c r="F743" s="1"/>
      <c r="G743" s="1"/>
    </row>
    <row r="744" spans="1:7" ht="42" x14ac:dyDescent="0.35">
      <c r="A744" s="154" t="s">
        <v>29</v>
      </c>
      <c r="B744" s="154" t="s">
        <v>103</v>
      </c>
      <c r="C744" s="154" t="s">
        <v>103</v>
      </c>
      <c r="D744" s="1"/>
      <c r="E744" s="1"/>
      <c r="F744" s="1"/>
      <c r="G744" s="1"/>
    </row>
    <row r="745" spans="1:7" ht="42" x14ac:dyDescent="0.35">
      <c r="A745" s="154" t="s">
        <v>29</v>
      </c>
      <c r="B745" s="154" t="s">
        <v>103</v>
      </c>
      <c r="C745" s="154" t="s">
        <v>103</v>
      </c>
      <c r="D745" s="1"/>
      <c r="E745" s="1"/>
      <c r="F745" s="1"/>
      <c r="G745" s="1"/>
    </row>
    <row r="746" spans="1:7" ht="42" x14ac:dyDescent="0.35">
      <c r="A746" s="154" t="s">
        <v>29</v>
      </c>
      <c r="B746" s="154" t="s">
        <v>103</v>
      </c>
      <c r="C746" s="154" t="s">
        <v>103</v>
      </c>
      <c r="D746" s="1"/>
      <c r="E746" s="1"/>
      <c r="F746" s="1"/>
      <c r="G746" s="1"/>
    </row>
    <row r="747" spans="1:7" ht="56" x14ac:dyDescent="0.35">
      <c r="A747" s="154" t="s">
        <v>29</v>
      </c>
      <c r="B747" s="154" t="s">
        <v>128</v>
      </c>
      <c r="C747" s="154" t="s">
        <v>128</v>
      </c>
      <c r="D747" s="1"/>
      <c r="E747" s="1"/>
      <c r="F747" s="1"/>
      <c r="G747" s="1"/>
    </row>
    <row r="748" spans="1:7" ht="56" x14ac:dyDescent="0.35">
      <c r="A748" s="154" t="s">
        <v>29</v>
      </c>
      <c r="B748" s="154" t="s">
        <v>128</v>
      </c>
      <c r="C748" s="154" t="s">
        <v>128</v>
      </c>
      <c r="D748" s="1"/>
      <c r="E748" s="1"/>
      <c r="F748" s="1"/>
      <c r="G748" s="1"/>
    </row>
    <row r="749" spans="1:7" ht="56" x14ac:dyDescent="0.35">
      <c r="A749" s="154" t="s">
        <v>29</v>
      </c>
      <c r="B749" s="154" t="s">
        <v>128</v>
      </c>
      <c r="C749" s="154" t="s">
        <v>128</v>
      </c>
      <c r="D749" s="1"/>
      <c r="E749" s="1"/>
      <c r="F749" s="1"/>
      <c r="G749" s="1"/>
    </row>
    <row r="750" spans="1:7" ht="56" x14ac:dyDescent="0.35">
      <c r="A750" s="154" t="s">
        <v>29</v>
      </c>
      <c r="B750" s="154" t="s">
        <v>128</v>
      </c>
      <c r="C750" s="154" t="s">
        <v>128</v>
      </c>
      <c r="D750" s="1"/>
      <c r="E750" s="1"/>
      <c r="F750" s="1"/>
      <c r="G750" s="1"/>
    </row>
    <row r="751" spans="1:7" ht="56" x14ac:dyDescent="0.35">
      <c r="A751" s="154" t="s">
        <v>29</v>
      </c>
      <c r="B751" s="154" t="s">
        <v>128</v>
      </c>
      <c r="C751" s="154" t="s">
        <v>128</v>
      </c>
      <c r="D751" s="1"/>
      <c r="E751" s="1"/>
      <c r="F751" s="1"/>
      <c r="G751" s="1"/>
    </row>
    <row r="752" spans="1:7" ht="56" x14ac:dyDescent="0.35">
      <c r="A752" s="154" t="s">
        <v>29</v>
      </c>
      <c r="B752" s="154" t="s">
        <v>128</v>
      </c>
      <c r="C752" s="154" t="s">
        <v>128</v>
      </c>
      <c r="D752" s="1"/>
      <c r="E752" s="1"/>
      <c r="F752" s="1"/>
      <c r="G752" s="1"/>
    </row>
    <row r="753" spans="1:7" ht="56" x14ac:dyDescent="0.35">
      <c r="A753" s="154" t="s">
        <v>29</v>
      </c>
      <c r="B753" s="154" t="s">
        <v>128</v>
      </c>
      <c r="C753" s="154" t="s">
        <v>128</v>
      </c>
      <c r="D753" s="1"/>
      <c r="E753" s="1"/>
      <c r="F753" s="1"/>
      <c r="G753" s="1"/>
    </row>
    <row r="754" spans="1:7" ht="56" x14ac:dyDescent="0.35">
      <c r="A754" s="154" t="s">
        <v>29</v>
      </c>
      <c r="B754" s="154" t="s">
        <v>128</v>
      </c>
      <c r="C754" s="154" t="s">
        <v>128</v>
      </c>
      <c r="D754" s="1"/>
      <c r="E754" s="1"/>
      <c r="F754" s="1"/>
      <c r="G754" s="1"/>
    </row>
    <row r="755" spans="1:7" ht="42" x14ac:dyDescent="0.35">
      <c r="A755" s="154" t="s">
        <v>29</v>
      </c>
      <c r="B755" s="154" t="s">
        <v>130</v>
      </c>
      <c r="C755" s="154" t="s">
        <v>130</v>
      </c>
      <c r="D755" s="1"/>
      <c r="E755" s="1"/>
      <c r="F755" s="1"/>
      <c r="G755" s="1"/>
    </row>
    <row r="756" spans="1:7" ht="42" x14ac:dyDescent="0.35">
      <c r="A756" s="154" t="s">
        <v>29</v>
      </c>
      <c r="B756" s="154" t="s">
        <v>130</v>
      </c>
      <c r="C756" s="154" t="s">
        <v>130</v>
      </c>
      <c r="D756" s="1"/>
      <c r="E756" s="1"/>
      <c r="F756" s="1"/>
      <c r="G756" s="1"/>
    </row>
    <row r="757" spans="1:7" ht="42" x14ac:dyDescent="0.35">
      <c r="A757" s="154" t="s">
        <v>29</v>
      </c>
      <c r="B757" s="154" t="s">
        <v>130</v>
      </c>
      <c r="C757" s="154" t="s">
        <v>130</v>
      </c>
      <c r="D757" s="1"/>
      <c r="E757" s="1"/>
      <c r="F757" s="1"/>
      <c r="G757" s="1"/>
    </row>
    <row r="758" spans="1:7" ht="42" x14ac:dyDescent="0.35">
      <c r="A758" s="154" t="s">
        <v>29</v>
      </c>
      <c r="B758" s="154" t="s">
        <v>130</v>
      </c>
      <c r="C758" s="154" t="s">
        <v>130</v>
      </c>
      <c r="D758" s="1"/>
      <c r="E758" s="1"/>
      <c r="F758" s="1"/>
      <c r="G758" s="1"/>
    </row>
    <row r="759" spans="1:7" ht="42" x14ac:dyDescent="0.35">
      <c r="A759" s="154" t="s">
        <v>29</v>
      </c>
      <c r="B759" s="154" t="s">
        <v>130</v>
      </c>
      <c r="C759" s="154" t="s">
        <v>130</v>
      </c>
      <c r="D759" s="1"/>
      <c r="E759" s="1"/>
      <c r="F759" s="1"/>
      <c r="G759" s="1"/>
    </row>
    <row r="760" spans="1:7" ht="42" x14ac:dyDescent="0.35">
      <c r="A760" s="154" t="s">
        <v>29</v>
      </c>
      <c r="B760" s="154" t="s">
        <v>130</v>
      </c>
      <c r="C760" s="154" t="s">
        <v>130</v>
      </c>
      <c r="D760" s="1"/>
      <c r="E760" s="1"/>
      <c r="F760" s="1"/>
      <c r="G760" s="1"/>
    </row>
    <row r="761" spans="1:7" ht="42" x14ac:dyDescent="0.35">
      <c r="A761" s="154" t="s">
        <v>29</v>
      </c>
      <c r="B761" s="154" t="s">
        <v>130</v>
      </c>
      <c r="C761" s="154" t="s">
        <v>130</v>
      </c>
      <c r="D761" s="1"/>
      <c r="E761" s="1"/>
      <c r="F761" s="1"/>
      <c r="G761" s="1"/>
    </row>
    <row r="762" spans="1:7" ht="42" x14ac:dyDescent="0.35">
      <c r="A762" s="154" t="s">
        <v>29</v>
      </c>
      <c r="B762" s="154" t="s">
        <v>130</v>
      </c>
      <c r="C762" s="154" t="s">
        <v>130</v>
      </c>
      <c r="D762" s="1"/>
      <c r="E762" s="1"/>
      <c r="F762" s="1"/>
      <c r="G762" s="1"/>
    </row>
    <row r="763" spans="1:7" ht="42" x14ac:dyDescent="0.35">
      <c r="A763" s="154" t="s">
        <v>29</v>
      </c>
      <c r="B763" s="154" t="s">
        <v>130</v>
      </c>
      <c r="C763" s="154" t="s">
        <v>130</v>
      </c>
      <c r="D763" s="1"/>
      <c r="E763" s="1"/>
      <c r="F763" s="1"/>
      <c r="G763" s="1"/>
    </row>
    <row r="764" spans="1:7" ht="42" x14ac:dyDescent="0.35">
      <c r="A764" s="154" t="s">
        <v>29</v>
      </c>
      <c r="B764" s="154" t="s">
        <v>130</v>
      </c>
      <c r="C764" s="154" t="s">
        <v>130</v>
      </c>
      <c r="D764" s="1"/>
      <c r="E764" s="1"/>
      <c r="F764" s="1"/>
      <c r="G764" s="1"/>
    </row>
    <row r="765" spans="1:7" ht="14.5" x14ac:dyDescent="0.35">
      <c r="A765" s="154"/>
      <c r="B765" s="154"/>
      <c r="C765" s="154"/>
      <c r="D765" s="1"/>
      <c r="E765" s="1"/>
      <c r="F765" s="1"/>
      <c r="G765" s="1"/>
    </row>
    <row r="766" spans="1:7" ht="14.5" x14ac:dyDescent="0.35">
      <c r="A766" s="154"/>
      <c r="B766" s="154"/>
      <c r="C766" s="154"/>
      <c r="D766" s="1"/>
      <c r="E766" s="1"/>
      <c r="F766" s="1"/>
      <c r="G766" s="1"/>
    </row>
    <row r="767" spans="1:7" ht="14.5" x14ac:dyDescent="0.35">
      <c r="A767" s="154"/>
      <c r="B767" s="154"/>
      <c r="C767" s="154"/>
      <c r="D767" s="1"/>
      <c r="E767" s="1"/>
      <c r="F767" s="1"/>
      <c r="G767" s="1"/>
    </row>
    <row r="768" spans="1:7" ht="14.5" x14ac:dyDescent="0.35">
      <c r="A768" s="154"/>
      <c r="B768" s="154"/>
      <c r="C768" s="154"/>
      <c r="D768" s="1"/>
      <c r="E768" s="1"/>
      <c r="F768" s="1"/>
      <c r="G768" s="1"/>
    </row>
    <row r="769" spans="1:7" ht="14.5" x14ac:dyDescent="0.35">
      <c r="A769" s="154"/>
      <c r="B769" s="154"/>
      <c r="C769" s="154"/>
      <c r="D769" s="1"/>
      <c r="E769" s="1"/>
      <c r="F769" s="1"/>
      <c r="G769" s="1"/>
    </row>
    <row r="770" spans="1:7" ht="14.5" x14ac:dyDescent="0.35">
      <c r="A770" s="154"/>
      <c r="B770" s="154"/>
      <c r="C770" s="154"/>
      <c r="D770" s="1"/>
      <c r="E770" s="1"/>
      <c r="F770" s="1"/>
      <c r="G770" s="1"/>
    </row>
    <row r="771" spans="1:7" ht="14.5" x14ac:dyDescent="0.35">
      <c r="A771" s="154"/>
      <c r="B771" s="154"/>
      <c r="C771" s="154"/>
      <c r="D771" s="1"/>
      <c r="E771" s="1"/>
      <c r="F771" s="1"/>
      <c r="G771" s="1"/>
    </row>
    <row r="772" spans="1:7" ht="14.5" x14ac:dyDescent="0.35">
      <c r="A772" s="154"/>
      <c r="B772" s="154"/>
      <c r="C772" s="154"/>
      <c r="D772" s="1"/>
      <c r="E772" s="1"/>
      <c r="F772" s="1"/>
      <c r="G772" s="1"/>
    </row>
    <row r="773" spans="1:7" ht="14.5" x14ac:dyDescent="0.35">
      <c r="A773" s="154"/>
      <c r="B773" s="154"/>
      <c r="C773" s="154"/>
      <c r="D773" s="1"/>
      <c r="E773" s="1"/>
      <c r="F773" s="1"/>
      <c r="G773" s="1"/>
    </row>
    <row r="774" spans="1:7" ht="14.5" x14ac:dyDescent="0.35">
      <c r="A774" s="154"/>
      <c r="B774" s="154"/>
      <c r="C774" s="154"/>
      <c r="D774" s="1"/>
      <c r="E774" s="1"/>
      <c r="F774" s="1"/>
      <c r="G774" s="1"/>
    </row>
    <row r="775" spans="1:7" ht="14.5" x14ac:dyDescent="0.35">
      <c r="A775" s="154"/>
      <c r="B775" s="154"/>
      <c r="C775" s="154"/>
      <c r="D775" s="1"/>
      <c r="E775" s="1"/>
      <c r="F775" s="1"/>
      <c r="G775" s="1"/>
    </row>
    <row r="776" spans="1:7" ht="14.5" x14ac:dyDescent="0.35">
      <c r="A776" s="154"/>
      <c r="B776" s="154"/>
      <c r="C776" s="154"/>
      <c r="D776" s="1"/>
      <c r="E776" s="1"/>
      <c r="F776" s="1"/>
      <c r="G776" s="1"/>
    </row>
    <row r="777" spans="1:7" ht="14.5" x14ac:dyDescent="0.35">
      <c r="A777" s="154"/>
      <c r="B777" s="154"/>
      <c r="C777" s="154"/>
      <c r="D777" s="1"/>
      <c r="E777" s="1"/>
      <c r="F777" s="1"/>
      <c r="G777" s="1"/>
    </row>
    <row r="778" spans="1:7" ht="14.5" x14ac:dyDescent="0.35">
      <c r="A778" s="154"/>
      <c r="B778" s="154"/>
      <c r="C778" s="154"/>
      <c r="D778" s="1"/>
      <c r="E778" s="1"/>
      <c r="F778" s="1"/>
      <c r="G778" s="1"/>
    </row>
    <row r="779" spans="1:7" ht="14.5" x14ac:dyDescent="0.35">
      <c r="A779" s="154"/>
      <c r="B779" s="154"/>
      <c r="C779" s="154"/>
      <c r="D779" s="1"/>
      <c r="E779" s="1"/>
      <c r="F779" s="1"/>
      <c r="G779" s="1"/>
    </row>
    <row r="780" spans="1:7" ht="14.5" x14ac:dyDescent="0.35">
      <c r="A780" s="154"/>
      <c r="B780" s="154"/>
      <c r="C780" s="154"/>
      <c r="D780" s="1"/>
      <c r="E780" s="1"/>
      <c r="F780" s="1"/>
      <c r="G780" s="1"/>
    </row>
    <row r="781" spans="1:7" ht="14.5" x14ac:dyDescent="0.35">
      <c r="A781" s="154"/>
      <c r="B781" s="154"/>
      <c r="C781" s="154"/>
      <c r="D781" s="1"/>
      <c r="E781" s="1"/>
      <c r="F781" s="1"/>
      <c r="G781" s="1"/>
    </row>
    <row r="782" spans="1:7" ht="14.5" x14ac:dyDescent="0.35">
      <c r="A782" s="154"/>
      <c r="B782" s="154"/>
      <c r="C782" s="154"/>
      <c r="D782" s="1"/>
      <c r="E782" s="1"/>
      <c r="F782" s="1"/>
      <c r="G782" s="1"/>
    </row>
    <row r="783" spans="1:7" ht="14.5" x14ac:dyDescent="0.35">
      <c r="A783" s="154"/>
      <c r="B783" s="154"/>
      <c r="C783" s="154"/>
      <c r="D783" s="1"/>
      <c r="E783" s="1"/>
      <c r="F783" s="1"/>
      <c r="G783" s="1"/>
    </row>
    <row r="784" spans="1:7" ht="14.5" x14ac:dyDescent="0.35">
      <c r="A784" s="154"/>
      <c r="B784" s="154"/>
      <c r="C784" s="154"/>
      <c r="D784" s="1"/>
      <c r="E784" s="1"/>
      <c r="F784" s="1"/>
      <c r="G784" s="1"/>
    </row>
    <row r="785" spans="1:7" ht="14.5" x14ac:dyDescent="0.35">
      <c r="A785" s="154"/>
      <c r="B785" s="154"/>
      <c r="C785" s="154"/>
      <c r="D785" s="1"/>
      <c r="E785" s="1"/>
      <c r="F785" s="1"/>
      <c r="G785" s="1"/>
    </row>
    <row r="786" spans="1:7" ht="14.5" x14ac:dyDescent="0.35">
      <c r="A786" s="154"/>
      <c r="B786" s="154"/>
      <c r="C786" s="154"/>
      <c r="D786" s="1"/>
      <c r="E786" s="1"/>
      <c r="F786" s="1"/>
      <c r="G786" s="1"/>
    </row>
    <row r="787" spans="1:7" ht="14.5" x14ac:dyDescent="0.35">
      <c r="A787" s="154"/>
      <c r="B787" s="154"/>
      <c r="C787" s="154"/>
      <c r="D787" s="1"/>
      <c r="E787" s="1"/>
      <c r="F787" s="1"/>
      <c r="G787" s="1"/>
    </row>
    <row r="788" spans="1:7" ht="14.5" x14ac:dyDescent="0.35">
      <c r="A788" s="154"/>
      <c r="B788" s="154"/>
      <c r="C788" s="154"/>
      <c r="D788" s="1"/>
      <c r="E788" s="1"/>
      <c r="F788" s="1"/>
      <c r="G788" s="1"/>
    </row>
    <row r="789" spans="1:7" ht="14.5" x14ac:dyDescent="0.35">
      <c r="A789" s="154"/>
      <c r="B789" s="154"/>
      <c r="C789" s="154"/>
      <c r="D789" s="1"/>
      <c r="E789" s="1"/>
      <c r="F789" s="1"/>
      <c r="G789" s="1"/>
    </row>
    <row r="790" spans="1:7" ht="14.5" x14ac:dyDescent="0.35">
      <c r="A790" s="154"/>
      <c r="B790" s="154"/>
      <c r="C790" s="154"/>
      <c r="D790" s="1"/>
      <c r="E790" s="1"/>
      <c r="F790" s="1"/>
      <c r="G790" s="1"/>
    </row>
    <row r="791" spans="1:7" ht="14.5" x14ac:dyDescent="0.35">
      <c r="A791" s="154"/>
      <c r="B791" s="154"/>
      <c r="C791" s="154"/>
      <c r="D791" s="1"/>
      <c r="E791" s="1"/>
      <c r="F791" s="1"/>
      <c r="G791" s="1"/>
    </row>
    <row r="792" spans="1:7" ht="14.5" x14ac:dyDescent="0.35">
      <c r="A792" s="154"/>
      <c r="B792" s="154"/>
      <c r="C792" s="154"/>
      <c r="D792" s="1"/>
      <c r="E792" s="1"/>
      <c r="F792" s="1"/>
      <c r="G792" s="1"/>
    </row>
    <row r="793" spans="1:7" ht="14.5" x14ac:dyDescent="0.35">
      <c r="A793" s="154"/>
      <c r="B793" s="154"/>
      <c r="C793" s="154"/>
      <c r="D793" s="1"/>
      <c r="E793" s="1"/>
      <c r="F793" s="1"/>
      <c r="G793" s="1"/>
    </row>
    <row r="794" spans="1:7" ht="14.5" x14ac:dyDescent="0.35">
      <c r="A794" s="154"/>
      <c r="B794" s="154"/>
      <c r="C794" s="154"/>
      <c r="D794" s="1"/>
      <c r="E794" s="1"/>
      <c r="F794" s="1"/>
      <c r="G794" s="1"/>
    </row>
    <row r="795" spans="1:7" ht="14.5" x14ac:dyDescent="0.35">
      <c r="A795" s="154"/>
      <c r="B795" s="154"/>
      <c r="C795" s="154"/>
      <c r="D795" s="1"/>
      <c r="E795" s="1"/>
      <c r="F795" s="1"/>
      <c r="G795" s="1"/>
    </row>
    <row r="796" spans="1:7" ht="14.5" x14ac:dyDescent="0.35">
      <c r="A796" s="154"/>
      <c r="B796" s="154"/>
      <c r="C796" s="154"/>
      <c r="D796" s="1"/>
      <c r="E796" s="1"/>
      <c r="F796" s="1"/>
      <c r="G796" s="1"/>
    </row>
    <row r="797" spans="1:7" ht="14.5" x14ac:dyDescent="0.35">
      <c r="A797" s="154"/>
      <c r="B797" s="154"/>
      <c r="C797" s="154"/>
      <c r="D797" s="1"/>
      <c r="E797" s="1"/>
      <c r="F797" s="1"/>
      <c r="G797" s="1"/>
    </row>
    <row r="798" spans="1:7" ht="14.5" x14ac:dyDescent="0.35">
      <c r="A798" s="154"/>
      <c r="B798" s="154"/>
      <c r="C798" s="154"/>
      <c r="D798" s="1"/>
      <c r="E798" s="1"/>
      <c r="F798" s="1"/>
      <c r="G798" s="1"/>
    </row>
    <row r="799" spans="1:7" ht="14.5" x14ac:dyDescent="0.35">
      <c r="A799" s="154"/>
      <c r="B799" s="154"/>
      <c r="C799" s="154"/>
      <c r="D799" s="1"/>
      <c r="E799" s="1"/>
      <c r="F799" s="1"/>
      <c r="G799" s="1"/>
    </row>
    <row r="800" spans="1:7" ht="14.5" x14ac:dyDescent="0.35">
      <c r="A800" s="154"/>
      <c r="B800" s="154"/>
      <c r="C800" s="154"/>
      <c r="D800" s="1"/>
      <c r="E800" s="1"/>
      <c r="F800" s="1"/>
      <c r="G800" s="1"/>
    </row>
    <row r="801" spans="1:7" ht="14.5" x14ac:dyDescent="0.35">
      <c r="A801" s="154"/>
      <c r="B801" s="154"/>
      <c r="C801" s="154"/>
      <c r="D801" s="1"/>
      <c r="E801" s="1"/>
      <c r="F801" s="1"/>
      <c r="G801" s="1"/>
    </row>
    <row r="802" spans="1:7" ht="14.5" x14ac:dyDescent="0.35">
      <c r="A802" s="154"/>
      <c r="B802" s="154"/>
      <c r="C802" s="154"/>
      <c r="D802" s="1"/>
      <c r="E802" s="1"/>
      <c r="F802" s="1"/>
      <c r="G802" s="1"/>
    </row>
    <row r="803" spans="1:7" ht="14.5" x14ac:dyDescent="0.35">
      <c r="A803" s="154"/>
      <c r="B803" s="154"/>
      <c r="C803" s="154"/>
      <c r="D803" s="1"/>
      <c r="E803" s="1"/>
      <c r="F803" s="1"/>
      <c r="G803" s="1"/>
    </row>
    <row r="804" spans="1:7" ht="14.5" x14ac:dyDescent="0.35">
      <c r="A804" s="154"/>
      <c r="B804" s="154"/>
      <c r="C804" s="154"/>
      <c r="D804" s="1"/>
      <c r="E804" s="1"/>
      <c r="F804" s="1"/>
      <c r="G804" s="1"/>
    </row>
    <row r="805" spans="1:7" ht="14.5" x14ac:dyDescent="0.35">
      <c r="A805" s="154"/>
      <c r="B805" s="154"/>
      <c r="C805" s="154"/>
      <c r="D805" s="1"/>
      <c r="E805" s="1"/>
      <c r="F805" s="1"/>
      <c r="G805" s="1"/>
    </row>
    <row r="806" spans="1:7" ht="14.5" x14ac:dyDescent="0.35">
      <c r="A806" s="154"/>
      <c r="B806" s="154"/>
      <c r="C806" s="154"/>
      <c r="D806" s="1"/>
      <c r="E806" s="1"/>
      <c r="F806" s="1"/>
      <c r="G806" s="1"/>
    </row>
    <row r="807" spans="1:7" ht="14.5" x14ac:dyDescent="0.35">
      <c r="A807" s="154"/>
      <c r="B807" s="154"/>
      <c r="C807" s="154"/>
      <c r="D807" s="1"/>
      <c r="E807" s="1"/>
      <c r="F807" s="1"/>
      <c r="G807" s="1"/>
    </row>
    <row r="808" spans="1:7" ht="14.5" x14ac:dyDescent="0.35">
      <c r="A808" s="154"/>
      <c r="B808" s="154"/>
      <c r="C808" s="154"/>
      <c r="D808" s="1"/>
      <c r="E808" s="1"/>
      <c r="F808" s="1"/>
      <c r="G808" s="1"/>
    </row>
    <row r="809" spans="1:7" ht="14.5" x14ac:dyDescent="0.35">
      <c r="A809" s="154"/>
      <c r="B809" s="154"/>
      <c r="C809" s="154"/>
      <c r="D809" s="1"/>
      <c r="E809" s="1"/>
      <c r="F809" s="1"/>
      <c r="G809" s="1"/>
    </row>
    <row r="810" spans="1:7" ht="14.5" x14ac:dyDescent="0.35">
      <c r="A810" s="154"/>
      <c r="B810" s="154"/>
      <c r="C810" s="154"/>
      <c r="D810" s="1"/>
      <c r="E810" s="1"/>
      <c r="F810" s="1"/>
      <c r="G810" s="1"/>
    </row>
    <row r="811" spans="1:7" ht="14.5" x14ac:dyDescent="0.35">
      <c r="A811" s="154"/>
      <c r="B811" s="154"/>
      <c r="C811" s="154"/>
      <c r="D811" s="1"/>
      <c r="E811" s="1"/>
      <c r="F811" s="1"/>
      <c r="G811" s="1"/>
    </row>
    <row r="812" spans="1:7" ht="14.5" x14ac:dyDescent="0.35">
      <c r="A812" s="154"/>
      <c r="B812" s="154"/>
      <c r="C812" s="154"/>
      <c r="D812" s="1"/>
      <c r="E812" s="1"/>
      <c r="F812" s="1"/>
      <c r="G812" s="1"/>
    </row>
    <row r="813" spans="1:7" ht="14.5" x14ac:dyDescent="0.35">
      <c r="A813" s="154"/>
      <c r="B813" s="154"/>
      <c r="C813" s="154"/>
      <c r="D813" s="1"/>
      <c r="E813" s="1"/>
      <c r="F813" s="1"/>
      <c r="G813" s="1"/>
    </row>
    <row r="814" spans="1:7" ht="14.5" x14ac:dyDescent="0.35">
      <c r="A814" s="154"/>
      <c r="B814" s="154"/>
      <c r="C814" s="154"/>
      <c r="D814" s="1"/>
      <c r="E814" s="1"/>
      <c r="F814" s="1"/>
      <c r="G814" s="1"/>
    </row>
    <row r="815" spans="1:7" ht="14.5" x14ac:dyDescent="0.35">
      <c r="A815" s="154"/>
      <c r="B815" s="154"/>
      <c r="C815" s="154"/>
      <c r="D815" s="1"/>
      <c r="E815" s="1"/>
      <c r="F815" s="1"/>
      <c r="G815" s="1"/>
    </row>
    <row r="816" spans="1:7" ht="14.5" x14ac:dyDescent="0.35">
      <c r="A816" s="154"/>
      <c r="B816" s="154"/>
      <c r="C816" s="154"/>
      <c r="D816" s="1"/>
      <c r="E816" s="1"/>
      <c r="F816" s="1"/>
      <c r="G816" s="1"/>
    </row>
    <row r="817" spans="1:7" ht="14.5" x14ac:dyDescent="0.35">
      <c r="A817" s="154"/>
      <c r="B817" s="154"/>
      <c r="C817" s="154"/>
      <c r="D817" s="1"/>
      <c r="E817" s="1"/>
      <c r="F817" s="1"/>
      <c r="G817" s="1"/>
    </row>
    <row r="818" spans="1:7" ht="14.5" x14ac:dyDescent="0.35">
      <c r="A818" s="154"/>
      <c r="B818" s="154"/>
      <c r="C818" s="154"/>
      <c r="D818" s="1"/>
      <c r="E818" s="1"/>
      <c r="F818" s="1"/>
      <c r="G818" s="1"/>
    </row>
    <row r="819" spans="1:7" ht="14.5" x14ac:dyDescent="0.35">
      <c r="A819" s="154"/>
      <c r="B819" s="154"/>
      <c r="C819" s="154"/>
      <c r="D819" s="1"/>
      <c r="E819" s="1"/>
      <c r="F819" s="1"/>
      <c r="G819" s="1"/>
    </row>
    <row r="820" spans="1:7" ht="14.5" x14ac:dyDescent="0.35">
      <c r="A820" s="154"/>
      <c r="B820" s="154"/>
      <c r="C820" s="154"/>
      <c r="D820" s="1"/>
      <c r="E820" s="1"/>
      <c r="F820" s="1"/>
      <c r="G820" s="1"/>
    </row>
    <row r="821" spans="1:7" ht="14.5" x14ac:dyDescent="0.35">
      <c r="A821" s="154"/>
      <c r="B821" s="154"/>
      <c r="C821" s="154"/>
      <c r="D821" s="1"/>
      <c r="E821" s="1"/>
      <c r="F821" s="1"/>
      <c r="G821" s="1"/>
    </row>
    <row r="822" spans="1:7" ht="14.5" x14ac:dyDescent="0.35">
      <c r="A822" s="154"/>
      <c r="B822" s="154"/>
      <c r="C822" s="154"/>
      <c r="D822" s="1"/>
      <c r="E822" s="1"/>
      <c r="F822" s="1"/>
      <c r="G822" s="1"/>
    </row>
    <row r="823" spans="1:7" ht="14.5" x14ac:dyDescent="0.35">
      <c r="A823" s="154"/>
      <c r="B823" s="154"/>
      <c r="C823" s="154"/>
      <c r="D823" s="1"/>
      <c r="E823" s="1"/>
      <c r="F823" s="1"/>
      <c r="G823" s="1"/>
    </row>
    <row r="824" spans="1:7" ht="14.5" x14ac:dyDescent="0.35">
      <c r="A824" s="154"/>
      <c r="B824" s="154"/>
      <c r="C824" s="154"/>
      <c r="D824" s="1"/>
      <c r="E824" s="1"/>
      <c r="F824" s="1"/>
      <c r="G824" s="1"/>
    </row>
    <row r="825" spans="1:7" ht="14.5" x14ac:dyDescent="0.35">
      <c r="A825" s="154"/>
      <c r="B825" s="154"/>
      <c r="C825" s="154"/>
      <c r="D825" s="1"/>
      <c r="E825" s="1"/>
      <c r="F825" s="1"/>
      <c r="G825" s="1"/>
    </row>
    <row r="826" spans="1:7" ht="14.5" x14ac:dyDescent="0.35">
      <c r="A826" s="154"/>
      <c r="B826" s="154"/>
      <c r="C826" s="154"/>
      <c r="D826" s="1"/>
      <c r="E826" s="1"/>
      <c r="F826" s="1"/>
      <c r="G826" s="1"/>
    </row>
    <row r="827" spans="1:7" ht="14.5" x14ac:dyDescent="0.35">
      <c r="A827" s="154"/>
      <c r="B827" s="154"/>
      <c r="C827" s="154"/>
      <c r="D827" s="1"/>
      <c r="E827" s="1"/>
      <c r="F827" s="1"/>
      <c r="G827" s="1"/>
    </row>
    <row r="828" spans="1:7" ht="14.5" x14ac:dyDescent="0.35">
      <c r="A828" s="154"/>
      <c r="B828" s="154"/>
      <c r="C828" s="154"/>
      <c r="D828" s="1"/>
      <c r="E828" s="1"/>
      <c r="F828" s="1"/>
      <c r="G828" s="1"/>
    </row>
    <row r="829" spans="1:7" ht="14.5" x14ac:dyDescent="0.35">
      <c r="A829" s="154"/>
      <c r="B829" s="154"/>
      <c r="C829" s="154"/>
      <c r="D829" s="1"/>
      <c r="E829" s="1"/>
      <c r="F829" s="1"/>
      <c r="G829" s="1"/>
    </row>
    <row r="830" spans="1:7" ht="14.5" x14ac:dyDescent="0.35">
      <c r="A830" s="154"/>
      <c r="B830" s="154"/>
      <c r="C830" s="154"/>
      <c r="D830" s="1"/>
      <c r="E830" s="1"/>
      <c r="F830" s="1"/>
      <c r="G830" s="1"/>
    </row>
    <row r="831" spans="1:7" ht="14.5" x14ac:dyDescent="0.35">
      <c r="A831" s="154"/>
      <c r="B831" s="154"/>
      <c r="C831" s="154"/>
      <c r="D831" s="1"/>
      <c r="E831" s="1"/>
      <c r="F831" s="1"/>
      <c r="G831" s="1"/>
    </row>
    <row r="832" spans="1:7" ht="14.5" x14ac:dyDescent="0.35">
      <c r="A832" s="154"/>
      <c r="B832" s="154"/>
      <c r="C832" s="154"/>
      <c r="D832" s="1"/>
      <c r="E832" s="1"/>
      <c r="F832" s="1"/>
      <c r="G832" s="1"/>
    </row>
    <row r="833" spans="1:7" ht="14.5" x14ac:dyDescent="0.35">
      <c r="A833" s="154"/>
      <c r="B833" s="154"/>
      <c r="C833" s="154"/>
      <c r="D833" s="1"/>
      <c r="E833" s="1"/>
      <c r="F833" s="1"/>
      <c r="G833" s="1"/>
    </row>
    <row r="834" spans="1:7" ht="14.5" x14ac:dyDescent="0.35">
      <c r="A834" s="154"/>
      <c r="B834" s="154"/>
      <c r="C834" s="154"/>
      <c r="D834" s="1"/>
      <c r="E834" s="1"/>
      <c r="F834" s="1"/>
      <c r="G834" s="1"/>
    </row>
    <row r="835" spans="1:7" ht="14.5" x14ac:dyDescent="0.35">
      <c r="A835" s="154"/>
      <c r="B835" s="154"/>
      <c r="C835" s="154"/>
      <c r="D835" s="1"/>
      <c r="E835" s="1"/>
      <c r="F835" s="1"/>
      <c r="G835" s="1"/>
    </row>
    <row r="836" spans="1:7" ht="14.5" x14ac:dyDescent="0.35">
      <c r="A836" s="154"/>
      <c r="B836" s="154"/>
      <c r="C836" s="154"/>
      <c r="D836" s="1"/>
      <c r="E836" s="1"/>
      <c r="F836" s="1"/>
      <c r="G836" s="1"/>
    </row>
    <row r="837" spans="1:7" ht="14.5" x14ac:dyDescent="0.35">
      <c r="A837" s="154"/>
      <c r="B837" s="154"/>
      <c r="C837" s="154"/>
      <c r="D837" s="1"/>
      <c r="E837" s="1"/>
      <c r="F837" s="1"/>
      <c r="G837" s="1"/>
    </row>
    <row r="838" spans="1:7" ht="14.5" x14ac:dyDescent="0.35">
      <c r="A838" s="154"/>
      <c r="B838" s="154"/>
      <c r="C838" s="154"/>
      <c r="D838" s="1"/>
      <c r="E838" s="1"/>
      <c r="F838" s="1"/>
      <c r="G838" s="1"/>
    </row>
    <row r="839" spans="1:7" ht="14.5" x14ac:dyDescent="0.35">
      <c r="A839" s="154"/>
      <c r="B839" s="154"/>
      <c r="C839" s="154"/>
      <c r="D839" s="1"/>
      <c r="E839" s="1"/>
      <c r="F839" s="1"/>
      <c r="G839" s="1"/>
    </row>
    <row r="840" spans="1:7" ht="14.5" x14ac:dyDescent="0.35">
      <c r="A840" s="154"/>
      <c r="B840" s="154"/>
      <c r="C840" s="154"/>
      <c r="D840" s="1"/>
      <c r="E840" s="1"/>
      <c r="F840" s="1"/>
      <c r="G840" s="1"/>
    </row>
    <row r="841" spans="1:7" ht="14.5" x14ac:dyDescent="0.35">
      <c r="A841" s="154"/>
      <c r="B841" s="154"/>
      <c r="C841" s="154"/>
      <c r="D841" s="1"/>
      <c r="E841" s="1"/>
      <c r="F841" s="1"/>
      <c r="G841" s="1"/>
    </row>
    <row r="842" spans="1:7" ht="14.5" x14ac:dyDescent="0.35">
      <c r="A842" s="154"/>
      <c r="B842" s="154"/>
      <c r="C842" s="154"/>
      <c r="D842" s="1"/>
      <c r="E842" s="1"/>
      <c r="F842" s="1"/>
      <c r="G842" s="1"/>
    </row>
    <row r="843" spans="1:7" ht="14.5" x14ac:dyDescent="0.35">
      <c r="A843" s="154"/>
      <c r="B843" s="154"/>
      <c r="C843" s="154"/>
      <c r="D843" s="1"/>
      <c r="E843" s="1"/>
      <c r="F843" s="1"/>
      <c r="G843" s="1"/>
    </row>
    <row r="844" spans="1:7" ht="14.5" x14ac:dyDescent="0.35">
      <c r="A844" s="154"/>
      <c r="B844" s="154"/>
      <c r="C844" s="154"/>
      <c r="D844" s="1"/>
      <c r="E844" s="1"/>
      <c r="F844" s="1"/>
      <c r="G844" s="1"/>
    </row>
    <row r="845" spans="1:7" ht="14.5" x14ac:dyDescent="0.35">
      <c r="A845" s="154"/>
      <c r="B845" s="154"/>
      <c r="C845" s="154"/>
      <c r="D845" s="1"/>
      <c r="E845" s="1"/>
      <c r="F845" s="1"/>
      <c r="G845" s="1"/>
    </row>
    <row r="846" spans="1:7" ht="14.5" x14ac:dyDescent="0.35">
      <c r="A846" s="154"/>
      <c r="B846" s="154"/>
      <c r="C846" s="154"/>
      <c r="D846" s="1"/>
      <c r="E846" s="1"/>
      <c r="F846" s="1"/>
      <c r="G846" s="1"/>
    </row>
    <row r="847" spans="1:7" ht="14.5" x14ac:dyDescent="0.35">
      <c r="A847" s="154"/>
      <c r="B847" s="154"/>
      <c r="C847" s="154"/>
      <c r="D847" s="1"/>
      <c r="E847" s="1"/>
      <c r="F847" s="1"/>
      <c r="G847" s="1"/>
    </row>
    <row r="848" spans="1:7" ht="14.5" x14ac:dyDescent="0.35">
      <c r="A848" s="154"/>
      <c r="B848" s="154"/>
      <c r="C848" s="154"/>
      <c r="D848" s="1"/>
      <c r="E848" s="1"/>
      <c r="F848" s="1"/>
      <c r="G848" s="1"/>
    </row>
    <row r="849" spans="1:7" ht="14.5" x14ac:dyDescent="0.35">
      <c r="A849" s="154"/>
      <c r="B849" s="154"/>
      <c r="C849" s="154"/>
      <c r="D849" s="1"/>
      <c r="E849" s="1"/>
      <c r="F849" s="1"/>
      <c r="G849" s="1"/>
    </row>
    <row r="850" spans="1:7" ht="14.5" x14ac:dyDescent="0.35">
      <c r="A850" s="154"/>
      <c r="B850" s="154"/>
      <c r="C850" s="154"/>
      <c r="D850" s="1"/>
      <c r="E850" s="1"/>
      <c r="F850" s="1"/>
      <c r="G850" s="1"/>
    </row>
    <row r="851" spans="1:7" ht="14.5" x14ac:dyDescent="0.35">
      <c r="A851" s="154"/>
      <c r="B851" s="154"/>
      <c r="C851" s="154"/>
      <c r="D851" s="1"/>
      <c r="E851" s="1"/>
      <c r="F851" s="1"/>
      <c r="G851" s="1"/>
    </row>
    <row r="852" spans="1:7" ht="14.5" x14ac:dyDescent="0.35">
      <c r="A852" s="154"/>
      <c r="B852" s="154"/>
      <c r="C852" s="154"/>
      <c r="D852" s="1"/>
      <c r="E852" s="1"/>
      <c r="F852" s="1"/>
      <c r="G852" s="1"/>
    </row>
    <row r="853" spans="1:7" ht="14.5" x14ac:dyDescent="0.35">
      <c r="A853" s="154"/>
      <c r="B853" s="154"/>
      <c r="C853" s="154"/>
      <c r="D853" s="1"/>
      <c r="E853" s="1"/>
      <c r="F853" s="1"/>
      <c r="G853" s="1"/>
    </row>
    <row r="854" spans="1:7" ht="14.5" x14ac:dyDescent="0.35">
      <c r="A854" s="154"/>
      <c r="B854" s="154"/>
      <c r="C854" s="154"/>
      <c r="D854" s="1"/>
      <c r="E854" s="1"/>
      <c r="F854" s="1"/>
      <c r="G854" s="1"/>
    </row>
    <row r="855" spans="1:7" ht="14.5" x14ac:dyDescent="0.35">
      <c r="A855" s="154"/>
      <c r="B855" s="154"/>
      <c r="C855" s="154"/>
      <c r="D855" s="1"/>
      <c r="E855" s="1"/>
      <c r="F855" s="1"/>
      <c r="G855" s="1"/>
    </row>
    <row r="856" spans="1:7" ht="14.5" x14ac:dyDescent="0.35">
      <c r="A856" s="154"/>
      <c r="B856" s="154"/>
      <c r="C856" s="154"/>
      <c r="D856" s="1"/>
      <c r="E856" s="1"/>
      <c r="F856" s="1"/>
      <c r="G856" s="1"/>
    </row>
    <row r="857" spans="1:7" ht="14.5" x14ac:dyDescent="0.35">
      <c r="A857" s="154"/>
      <c r="B857" s="154"/>
      <c r="C857" s="154"/>
      <c r="D857" s="1"/>
      <c r="E857" s="1"/>
      <c r="F857" s="1"/>
      <c r="G857" s="1"/>
    </row>
    <row r="858" spans="1:7" ht="14.5" x14ac:dyDescent="0.35">
      <c r="A858" s="154"/>
      <c r="B858" s="154"/>
      <c r="C858" s="154"/>
      <c r="D858" s="1"/>
      <c r="E858" s="1"/>
      <c r="F858" s="1"/>
      <c r="G858" s="1"/>
    </row>
    <row r="859" spans="1:7" ht="14.5" x14ac:dyDescent="0.35">
      <c r="A859" s="154"/>
      <c r="B859" s="154"/>
      <c r="C859" s="154"/>
      <c r="D859" s="1"/>
      <c r="E859" s="1"/>
      <c r="F859" s="1"/>
      <c r="G859" s="1"/>
    </row>
    <row r="860" spans="1:7" ht="14.5" x14ac:dyDescent="0.35">
      <c r="A860" s="154"/>
      <c r="B860" s="154"/>
      <c r="C860" s="154"/>
      <c r="D860" s="1"/>
      <c r="E860" s="1"/>
      <c r="F860" s="1"/>
      <c r="G860" s="1"/>
    </row>
    <row r="861" spans="1:7" ht="14.5" x14ac:dyDescent="0.35">
      <c r="A861" s="154"/>
      <c r="B861" s="154"/>
      <c r="C861" s="154"/>
      <c r="D861" s="1"/>
      <c r="E861" s="1"/>
      <c r="F861" s="1"/>
      <c r="G861" s="1"/>
    </row>
    <row r="862" spans="1:7" ht="14.5" x14ac:dyDescent="0.35">
      <c r="A862" s="154"/>
      <c r="B862" s="154"/>
      <c r="C862" s="154"/>
      <c r="D862" s="1"/>
      <c r="E862" s="1"/>
      <c r="F862" s="1"/>
      <c r="G862" s="1"/>
    </row>
    <row r="863" spans="1:7" ht="14.5" x14ac:dyDescent="0.35">
      <c r="A863" s="154"/>
      <c r="B863" s="154"/>
      <c r="C863" s="154"/>
      <c r="D863" s="1"/>
      <c r="E863" s="1"/>
      <c r="F863" s="1"/>
      <c r="G863" s="1"/>
    </row>
    <row r="864" spans="1:7" ht="14.5" x14ac:dyDescent="0.35">
      <c r="A864" s="154"/>
      <c r="B864" s="154"/>
      <c r="C864" s="154"/>
      <c r="D864" s="1"/>
      <c r="E864" s="1"/>
      <c r="F864" s="1"/>
      <c r="G864" s="1"/>
    </row>
    <row r="865" spans="1:7" ht="14.5" x14ac:dyDescent="0.35">
      <c r="A865" s="154"/>
      <c r="B865" s="154"/>
      <c r="C865" s="154"/>
      <c r="D865" s="1"/>
      <c r="E865" s="1"/>
      <c r="F865" s="1"/>
      <c r="G865" s="1"/>
    </row>
    <row r="866" spans="1:7" ht="14.5" x14ac:dyDescent="0.35">
      <c r="A866" s="154"/>
      <c r="B866" s="154"/>
      <c r="C866" s="154"/>
      <c r="D866" s="1"/>
      <c r="E866" s="1"/>
      <c r="F866" s="1"/>
      <c r="G866" s="1"/>
    </row>
    <row r="867" spans="1:7" ht="14.5" x14ac:dyDescent="0.35">
      <c r="A867" s="154"/>
      <c r="B867" s="154"/>
      <c r="C867" s="154"/>
      <c r="D867" s="1"/>
      <c r="E867" s="1"/>
      <c r="F867" s="1"/>
      <c r="G867" s="1"/>
    </row>
    <row r="868" spans="1:7" ht="14.5" x14ac:dyDescent="0.35">
      <c r="A868" s="154"/>
      <c r="B868" s="154"/>
      <c r="C868" s="154"/>
      <c r="D868" s="1"/>
      <c r="E868" s="1"/>
      <c r="F868" s="1"/>
      <c r="G868" s="1"/>
    </row>
    <row r="869" spans="1:7" ht="14.5" x14ac:dyDescent="0.35">
      <c r="A869" s="154"/>
      <c r="B869" s="154"/>
      <c r="C869" s="154"/>
      <c r="D869" s="1"/>
      <c r="E869" s="1"/>
      <c r="F869" s="1"/>
      <c r="G869" s="1"/>
    </row>
    <row r="870" spans="1:7" ht="14.5" x14ac:dyDescent="0.35">
      <c r="A870" s="154"/>
      <c r="B870" s="154"/>
      <c r="C870" s="154"/>
      <c r="D870" s="1"/>
      <c r="E870" s="1"/>
      <c r="F870" s="1"/>
      <c r="G870" s="1"/>
    </row>
    <row r="871" spans="1:7" ht="14.5" x14ac:dyDescent="0.35">
      <c r="A871" s="154"/>
      <c r="B871" s="154"/>
      <c r="C871" s="154"/>
      <c r="D871" s="1"/>
      <c r="E871" s="1"/>
      <c r="F871" s="1"/>
      <c r="G871" s="1"/>
    </row>
    <row r="872" spans="1:7" ht="14.5" x14ac:dyDescent="0.35">
      <c r="A872" s="154"/>
      <c r="B872" s="154"/>
      <c r="C872" s="154"/>
      <c r="D872" s="1"/>
      <c r="E872" s="1"/>
      <c r="F872" s="1"/>
      <c r="G872" s="1"/>
    </row>
    <row r="873" spans="1:7" ht="14.5" x14ac:dyDescent="0.35">
      <c r="A873" s="154"/>
      <c r="B873" s="154"/>
      <c r="C873" s="154"/>
      <c r="D873" s="1"/>
      <c r="E873" s="1"/>
      <c r="F873" s="1"/>
      <c r="G873" s="1"/>
    </row>
    <row r="874" spans="1:7" ht="14.5" x14ac:dyDescent="0.35">
      <c r="A874" s="154"/>
      <c r="B874" s="154"/>
      <c r="C874" s="154"/>
      <c r="D874" s="1"/>
      <c r="E874" s="1"/>
      <c r="F874" s="1"/>
      <c r="G874" s="1"/>
    </row>
    <row r="875" spans="1:7" ht="14.5" x14ac:dyDescent="0.35">
      <c r="A875" s="154"/>
      <c r="B875" s="154"/>
      <c r="C875" s="154"/>
      <c r="D875" s="1"/>
      <c r="E875" s="1"/>
      <c r="F875" s="1"/>
      <c r="G875" s="1"/>
    </row>
    <row r="876" spans="1:7" ht="14.5" x14ac:dyDescent="0.35">
      <c r="A876" s="154"/>
      <c r="B876" s="154"/>
      <c r="C876" s="154"/>
      <c r="D876" s="1"/>
      <c r="E876" s="1"/>
      <c r="F876" s="1"/>
      <c r="G876" s="1"/>
    </row>
    <row r="877" spans="1:7" ht="14.5" x14ac:dyDescent="0.35">
      <c r="A877" s="154"/>
      <c r="B877" s="154"/>
      <c r="C877" s="154"/>
      <c r="D877" s="1"/>
      <c r="E877" s="1"/>
      <c r="F877" s="1"/>
      <c r="G877" s="1"/>
    </row>
    <row r="878" spans="1:7" ht="14.5" x14ac:dyDescent="0.35">
      <c r="A878" s="154"/>
      <c r="B878" s="154"/>
      <c r="C878" s="154"/>
      <c r="D878" s="1"/>
      <c r="E878" s="1"/>
      <c r="F878" s="1"/>
      <c r="G878" s="1"/>
    </row>
    <row r="879" spans="1:7" ht="14.5" x14ac:dyDescent="0.35">
      <c r="A879" s="154"/>
      <c r="B879" s="154"/>
      <c r="C879" s="154"/>
      <c r="D879" s="1"/>
      <c r="E879" s="1"/>
      <c r="F879" s="1"/>
      <c r="G879" s="1"/>
    </row>
    <row r="880" spans="1:7" ht="14.5" x14ac:dyDescent="0.35">
      <c r="A880" s="154"/>
      <c r="B880" s="154"/>
      <c r="C880" s="154"/>
      <c r="D880" s="1"/>
      <c r="E880" s="1"/>
      <c r="F880" s="1"/>
      <c r="G880" s="1"/>
    </row>
    <row r="881" spans="1:7" ht="14.5" x14ac:dyDescent="0.35">
      <c r="A881" s="154"/>
      <c r="B881" s="154"/>
      <c r="C881" s="154"/>
      <c r="D881" s="1"/>
      <c r="E881" s="1"/>
      <c r="F881" s="1"/>
      <c r="G881" s="1"/>
    </row>
    <row r="882" spans="1:7" ht="14.5" x14ac:dyDescent="0.35">
      <c r="A882" s="154"/>
      <c r="B882" s="154"/>
      <c r="C882" s="154"/>
      <c r="D882" s="1"/>
      <c r="E882" s="1"/>
      <c r="F882" s="1"/>
      <c r="G882" s="1"/>
    </row>
    <row r="883" spans="1:7" ht="14.5" x14ac:dyDescent="0.35">
      <c r="A883" s="154"/>
      <c r="B883" s="154"/>
      <c r="C883" s="154"/>
      <c r="D883" s="1"/>
      <c r="E883" s="1"/>
      <c r="F883" s="1"/>
      <c r="G883" s="1"/>
    </row>
    <row r="884" spans="1:7" ht="14.5" x14ac:dyDescent="0.35">
      <c r="A884" s="154"/>
      <c r="B884" s="154"/>
      <c r="C884" s="154"/>
      <c r="D884" s="1"/>
      <c r="E884" s="1"/>
      <c r="F884" s="1"/>
      <c r="G884" s="1"/>
    </row>
    <row r="885" spans="1:7" ht="14.5" x14ac:dyDescent="0.35">
      <c r="A885" s="154"/>
      <c r="B885" s="154"/>
      <c r="C885" s="154"/>
      <c r="D885" s="1"/>
      <c r="E885" s="1"/>
      <c r="F885" s="1"/>
      <c r="G885" s="1"/>
    </row>
    <row r="886" spans="1:7" ht="14.5" x14ac:dyDescent="0.35">
      <c r="A886" s="154"/>
      <c r="B886" s="154"/>
      <c r="C886" s="154"/>
      <c r="D886" s="1"/>
      <c r="E886" s="1"/>
      <c r="F886" s="1"/>
      <c r="G886" s="1"/>
    </row>
    <row r="887" spans="1:7" ht="14.5" x14ac:dyDescent="0.35">
      <c r="A887" s="154"/>
      <c r="B887" s="154"/>
      <c r="C887" s="154"/>
      <c r="D887" s="1"/>
      <c r="E887" s="1"/>
      <c r="F887" s="1"/>
      <c r="G887" s="1"/>
    </row>
    <row r="888" spans="1:7" ht="14.5" x14ac:dyDescent="0.35">
      <c r="A888" s="154"/>
      <c r="B888" s="154"/>
      <c r="C888" s="154"/>
      <c r="D888" s="1"/>
      <c r="E888" s="1"/>
      <c r="F888" s="1"/>
      <c r="G888" s="1"/>
    </row>
    <row r="889" spans="1:7" ht="14.5" x14ac:dyDescent="0.35">
      <c r="A889" s="154"/>
      <c r="B889" s="154"/>
      <c r="C889" s="154"/>
      <c r="D889" s="1"/>
      <c r="E889" s="1"/>
      <c r="F889" s="1"/>
      <c r="G889" s="1"/>
    </row>
    <row r="890" spans="1:7" ht="14.5" x14ac:dyDescent="0.35">
      <c r="A890" s="154"/>
      <c r="B890" s="154"/>
      <c r="C890" s="154"/>
      <c r="D890" s="1"/>
      <c r="E890" s="1"/>
      <c r="F890" s="1"/>
      <c r="G890" s="1"/>
    </row>
    <row r="891" spans="1:7" ht="14.5" x14ac:dyDescent="0.35">
      <c r="A891" s="154"/>
      <c r="B891" s="154"/>
      <c r="C891" s="154"/>
      <c r="D891" s="1"/>
      <c r="E891" s="1"/>
      <c r="F891" s="1"/>
      <c r="G891" s="1"/>
    </row>
    <row r="892" spans="1:7" ht="14.5" x14ac:dyDescent="0.35">
      <c r="A892" s="154"/>
      <c r="B892" s="154"/>
      <c r="C892" s="154"/>
      <c r="D892" s="1"/>
      <c r="E892" s="1"/>
      <c r="F892" s="1"/>
      <c r="G892" s="1"/>
    </row>
    <row r="893" spans="1:7" ht="14.5" x14ac:dyDescent="0.35">
      <c r="A893" s="154"/>
      <c r="B893" s="154"/>
      <c r="C893" s="154"/>
      <c r="D893" s="1"/>
      <c r="E893" s="1"/>
      <c r="F893" s="1"/>
      <c r="G893" s="1"/>
    </row>
    <row r="894" spans="1:7" ht="14.5" x14ac:dyDescent="0.35">
      <c r="A894" s="154"/>
      <c r="B894" s="154"/>
      <c r="C894" s="154"/>
      <c r="D894" s="1"/>
      <c r="E894" s="1"/>
      <c r="F894" s="1"/>
      <c r="G894" s="1"/>
    </row>
    <row r="895" spans="1:7" ht="14.5" x14ac:dyDescent="0.35">
      <c r="A895" s="154"/>
      <c r="B895" s="154"/>
      <c r="C895" s="154"/>
      <c r="D895" s="1"/>
      <c r="E895" s="1"/>
      <c r="F895" s="1"/>
      <c r="G895" s="1"/>
    </row>
    <row r="896" spans="1:7" ht="14.5" x14ac:dyDescent="0.35">
      <c r="A896" s="154"/>
      <c r="B896" s="154"/>
      <c r="C896" s="154"/>
      <c r="D896" s="1"/>
      <c r="E896" s="1"/>
      <c r="F896" s="1"/>
      <c r="G896" s="1"/>
    </row>
    <row r="897" spans="1:7" ht="14.5" x14ac:dyDescent="0.35">
      <c r="A897" s="154"/>
      <c r="B897" s="154"/>
      <c r="C897" s="154"/>
      <c r="D897" s="1"/>
      <c r="E897" s="1"/>
      <c r="F897" s="1"/>
      <c r="G897" s="1"/>
    </row>
    <row r="898" spans="1:7" ht="14.5" x14ac:dyDescent="0.35">
      <c r="A898" s="154"/>
      <c r="B898" s="154"/>
      <c r="C898" s="154"/>
      <c r="D898" s="1"/>
      <c r="E898" s="1"/>
      <c r="F898" s="1"/>
      <c r="G898" s="1"/>
    </row>
    <row r="899" spans="1:7" ht="14.5" x14ac:dyDescent="0.35">
      <c r="A899" s="154"/>
      <c r="B899" s="154"/>
      <c r="C899" s="154"/>
      <c r="D899" s="1"/>
      <c r="E899" s="1"/>
      <c r="F899" s="1"/>
      <c r="G899" s="1"/>
    </row>
    <row r="900" spans="1:7" ht="14.5" x14ac:dyDescent="0.35">
      <c r="A900" s="154"/>
      <c r="B900" s="154"/>
      <c r="C900" s="154"/>
      <c r="D900" s="1"/>
      <c r="E900" s="1"/>
      <c r="F900" s="1"/>
      <c r="G900" s="1"/>
    </row>
    <row r="901" spans="1:7" ht="14.5" x14ac:dyDescent="0.35">
      <c r="A901" s="154"/>
      <c r="B901" s="154"/>
      <c r="C901" s="154"/>
      <c r="D901" s="1"/>
      <c r="E901" s="1"/>
      <c r="F901" s="1"/>
      <c r="G901" s="1"/>
    </row>
    <row r="902" spans="1:7" ht="14.5" x14ac:dyDescent="0.35">
      <c r="A902" s="154"/>
      <c r="B902" s="154"/>
      <c r="C902" s="154"/>
      <c r="D902" s="1"/>
      <c r="E902" s="1"/>
      <c r="F902" s="1"/>
      <c r="G902" s="1"/>
    </row>
    <row r="903" spans="1:7" ht="14.5" x14ac:dyDescent="0.35">
      <c r="A903" s="154"/>
      <c r="B903" s="154"/>
      <c r="C903" s="154"/>
      <c r="D903" s="1"/>
      <c r="E903" s="1"/>
      <c r="F903" s="1"/>
      <c r="G903" s="1"/>
    </row>
    <row r="904" spans="1:7" ht="14.5" x14ac:dyDescent="0.35">
      <c r="A904" s="154"/>
      <c r="B904" s="154"/>
      <c r="C904" s="154"/>
      <c r="D904" s="1"/>
      <c r="E904" s="1"/>
      <c r="F904" s="1"/>
      <c r="G904" s="1"/>
    </row>
    <row r="905" spans="1:7" ht="14.5" x14ac:dyDescent="0.35">
      <c r="A905" s="154"/>
      <c r="B905" s="154"/>
      <c r="C905" s="154"/>
      <c r="D905" s="1"/>
      <c r="E905" s="1"/>
      <c r="F905" s="1"/>
      <c r="G905" s="1"/>
    </row>
    <row r="906" spans="1:7" ht="14.5" x14ac:dyDescent="0.35">
      <c r="A906" s="154"/>
      <c r="B906" s="154"/>
      <c r="C906" s="154"/>
      <c r="D906" s="1"/>
      <c r="E906" s="1"/>
      <c r="F906" s="1"/>
      <c r="G906" s="1"/>
    </row>
    <row r="907" spans="1:7" ht="14.5" x14ac:dyDescent="0.35">
      <c r="A907" s="154"/>
      <c r="B907" s="154"/>
      <c r="C907" s="154"/>
      <c r="D907" s="1"/>
      <c r="E907" s="1"/>
      <c r="F907" s="1"/>
      <c r="G907" s="1"/>
    </row>
    <row r="908" spans="1:7" ht="14.5" x14ac:dyDescent="0.35">
      <c r="A908" s="154"/>
      <c r="B908" s="154"/>
      <c r="C908" s="154"/>
      <c r="D908" s="1"/>
      <c r="E908" s="1"/>
      <c r="F908" s="1"/>
      <c r="G908" s="1"/>
    </row>
    <row r="909" spans="1:7" ht="14.5" x14ac:dyDescent="0.35">
      <c r="A909" s="154"/>
      <c r="B909" s="154"/>
      <c r="C909" s="154"/>
      <c r="D909" s="1"/>
      <c r="E909" s="1"/>
      <c r="F909" s="1"/>
      <c r="G909" s="1"/>
    </row>
    <row r="910" spans="1:7" ht="14.5" x14ac:dyDescent="0.35">
      <c r="A910" s="154"/>
      <c r="B910" s="154"/>
      <c r="C910" s="154"/>
      <c r="D910" s="1"/>
      <c r="E910" s="1"/>
      <c r="F910" s="1"/>
      <c r="G910" s="1"/>
    </row>
    <row r="911" spans="1:7" ht="14.5" x14ac:dyDescent="0.35">
      <c r="A911" s="154"/>
      <c r="B911" s="154"/>
      <c r="C911" s="154"/>
      <c r="D911" s="1"/>
      <c r="E911" s="1"/>
      <c r="F911" s="1"/>
      <c r="G911" s="1"/>
    </row>
    <row r="912" spans="1:7" ht="14.5" x14ac:dyDescent="0.35">
      <c r="A912" s="154"/>
      <c r="B912" s="154"/>
      <c r="C912" s="154"/>
      <c r="D912" s="1"/>
      <c r="E912" s="1"/>
      <c r="F912" s="1"/>
      <c r="G912" s="1"/>
    </row>
    <row r="913" spans="1:7" ht="14.5" x14ac:dyDescent="0.35">
      <c r="A913" s="154"/>
      <c r="B913" s="154"/>
      <c r="C913" s="154"/>
      <c r="D913" s="1"/>
      <c r="E913" s="1"/>
      <c r="F913" s="1"/>
      <c r="G913" s="1"/>
    </row>
    <row r="914" spans="1:7" ht="14.5" x14ac:dyDescent="0.35">
      <c r="A914" s="154"/>
      <c r="B914" s="154"/>
      <c r="C914" s="154"/>
      <c r="D914" s="1"/>
      <c r="E914" s="1"/>
      <c r="F914" s="1"/>
      <c r="G914" s="1"/>
    </row>
    <row r="915" spans="1:7" ht="14.5" x14ac:dyDescent="0.35">
      <c r="A915" s="154"/>
      <c r="B915" s="154"/>
      <c r="C915" s="154"/>
      <c r="D915" s="1"/>
      <c r="E915" s="1"/>
      <c r="F915" s="1"/>
      <c r="G915" s="1"/>
    </row>
    <row r="916" spans="1:7" ht="14.5" x14ac:dyDescent="0.35">
      <c r="A916" s="154"/>
      <c r="B916" s="154"/>
      <c r="C916" s="154"/>
      <c r="D916" s="1"/>
      <c r="E916" s="1"/>
      <c r="F916" s="1"/>
      <c r="G916" s="1"/>
    </row>
    <row r="917" spans="1:7" ht="14.5" x14ac:dyDescent="0.35">
      <c r="A917" s="154"/>
      <c r="B917" s="154"/>
      <c r="C917" s="154"/>
      <c r="D917" s="1"/>
      <c r="E917" s="1"/>
      <c r="F917" s="1"/>
      <c r="G917" s="1"/>
    </row>
    <row r="918" spans="1:7" ht="14.5" x14ac:dyDescent="0.35">
      <c r="A918" s="154"/>
      <c r="B918" s="154"/>
      <c r="C918" s="154"/>
      <c r="D918" s="1"/>
      <c r="E918" s="1"/>
      <c r="F918" s="1"/>
      <c r="G918" s="1"/>
    </row>
    <row r="919" spans="1:7" ht="14.5" x14ac:dyDescent="0.35">
      <c r="A919" s="154"/>
      <c r="B919" s="154"/>
      <c r="C919" s="154"/>
      <c r="D919" s="1"/>
      <c r="E919" s="1"/>
      <c r="F919" s="1"/>
      <c r="G919" s="1"/>
    </row>
    <row r="920" spans="1:7" ht="14.5" x14ac:dyDescent="0.35">
      <c r="A920" s="154"/>
      <c r="B920" s="154"/>
      <c r="C920" s="154"/>
      <c r="D920" s="1"/>
      <c r="E920" s="1"/>
      <c r="F920" s="1"/>
      <c r="G920" s="1"/>
    </row>
    <row r="921" spans="1:7" ht="14.5" x14ac:dyDescent="0.35">
      <c r="A921" s="154"/>
      <c r="B921" s="154"/>
      <c r="C921" s="154"/>
      <c r="D921" s="1"/>
      <c r="E921" s="1"/>
      <c r="F921" s="1"/>
      <c r="G921" s="1"/>
    </row>
    <row r="922" spans="1:7" ht="14.5" x14ac:dyDescent="0.35">
      <c r="A922" s="154"/>
      <c r="B922" s="154"/>
      <c r="C922" s="154"/>
      <c r="D922" s="1"/>
      <c r="E922" s="1"/>
      <c r="F922" s="1"/>
      <c r="G922" s="1"/>
    </row>
    <row r="923" spans="1:7" ht="14.5" x14ac:dyDescent="0.35">
      <c r="A923" s="154"/>
      <c r="B923" s="154"/>
      <c r="C923" s="154"/>
      <c r="D923" s="1"/>
      <c r="E923" s="1"/>
      <c r="F923" s="1"/>
      <c r="G923" s="1"/>
    </row>
    <row r="924" spans="1:7" ht="14.5" x14ac:dyDescent="0.35">
      <c r="A924" s="154"/>
      <c r="B924" s="154"/>
      <c r="C924" s="154"/>
      <c r="D924" s="1"/>
      <c r="E924" s="1"/>
      <c r="F924" s="1"/>
      <c r="G924" s="1"/>
    </row>
    <row r="925" spans="1:7" ht="14.5" x14ac:dyDescent="0.35">
      <c r="A925" s="154"/>
      <c r="B925" s="154"/>
      <c r="C925" s="154"/>
      <c r="D925" s="1"/>
      <c r="E925" s="1"/>
      <c r="F925" s="1"/>
      <c r="G925" s="1"/>
    </row>
    <row r="926" spans="1:7" ht="14.5" x14ac:dyDescent="0.35">
      <c r="A926" s="154"/>
      <c r="B926" s="154"/>
      <c r="C926" s="154"/>
      <c r="D926" s="1"/>
      <c r="E926" s="1"/>
      <c r="F926" s="1"/>
      <c r="G926" s="1"/>
    </row>
    <row r="927" spans="1:7" ht="14.5" x14ac:dyDescent="0.35">
      <c r="A927" s="154"/>
      <c r="B927" s="154"/>
      <c r="C927" s="154"/>
      <c r="D927" s="1"/>
      <c r="E927" s="1"/>
      <c r="F927" s="1"/>
      <c r="G927" s="1"/>
    </row>
    <row r="928" spans="1:7" ht="14.5" x14ac:dyDescent="0.35">
      <c r="A928" s="154"/>
      <c r="B928" s="154"/>
      <c r="C928" s="154"/>
      <c r="D928" s="1"/>
      <c r="E928" s="1"/>
      <c r="F928" s="1"/>
      <c r="G928" s="1"/>
    </row>
    <row r="929" spans="1:7" ht="14.5" x14ac:dyDescent="0.35">
      <c r="A929" s="154"/>
      <c r="B929" s="154"/>
      <c r="C929" s="154"/>
      <c r="D929" s="1"/>
      <c r="E929" s="1"/>
      <c r="F929" s="1"/>
      <c r="G929" s="1"/>
    </row>
    <row r="930" spans="1:7" ht="14.5" x14ac:dyDescent="0.35">
      <c r="A930" s="154"/>
      <c r="B930" s="154"/>
      <c r="C930" s="154"/>
      <c r="D930" s="1"/>
      <c r="E930" s="1"/>
      <c r="F930" s="1"/>
      <c r="G930" s="1"/>
    </row>
    <row r="931" spans="1:7" ht="14.5" x14ac:dyDescent="0.35">
      <c r="A931" s="154"/>
      <c r="B931" s="154"/>
      <c r="C931" s="154"/>
      <c r="D931" s="1"/>
      <c r="E931" s="1"/>
      <c r="F931" s="1"/>
      <c r="G931" s="1"/>
    </row>
    <row r="932" spans="1:7" ht="14.5" x14ac:dyDescent="0.35">
      <c r="A932" s="154"/>
      <c r="B932" s="154"/>
      <c r="C932" s="154"/>
      <c r="D932" s="1"/>
      <c r="E932" s="1"/>
      <c r="F932" s="1"/>
      <c r="G932" s="1"/>
    </row>
    <row r="933" spans="1:7" ht="14.5" x14ac:dyDescent="0.35">
      <c r="A933" s="154"/>
      <c r="B933" s="154"/>
      <c r="C933" s="154"/>
      <c r="D933" s="1"/>
      <c r="E933" s="1"/>
      <c r="F933" s="1"/>
      <c r="G933" s="1"/>
    </row>
    <row r="934" spans="1:7" ht="14.5" x14ac:dyDescent="0.35">
      <c r="A934" s="154"/>
      <c r="B934" s="154"/>
      <c r="C934" s="154"/>
      <c r="D934" s="1"/>
      <c r="E934" s="1"/>
      <c r="F934" s="1"/>
      <c r="G934" s="1"/>
    </row>
    <row r="935" spans="1:7" ht="14.5" x14ac:dyDescent="0.35">
      <c r="A935" s="154"/>
      <c r="B935" s="154"/>
      <c r="C935" s="154"/>
      <c r="D935" s="1"/>
      <c r="E935" s="1"/>
      <c r="F935" s="1"/>
      <c r="G935" s="1"/>
    </row>
    <row r="936" spans="1:7" ht="14.5" x14ac:dyDescent="0.35">
      <c r="A936" s="154"/>
      <c r="B936" s="154"/>
      <c r="C936" s="154"/>
      <c r="D936" s="1"/>
      <c r="E936" s="1"/>
      <c r="F936" s="1"/>
      <c r="G936" s="1"/>
    </row>
    <row r="937" spans="1:7" ht="14.5" x14ac:dyDescent="0.35">
      <c r="A937" s="154"/>
      <c r="B937" s="154"/>
      <c r="C937" s="154"/>
      <c r="D937" s="1"/>
      <c r="E937" s="1"/>
      <c r="F937" s="1"/>
      <c r="G937" s="1"/>
    </row>
    <row r="938" spans="1:7" ht="14.5" x14ac:dyDescent="0.35">
      <c r="A938" s="154"/>
      <c r="B938" s="154"/>
      <c r="C938" s="154"/>
      <c r="D938" s="1"/>
      <c r="E938" s="1"/>
      <c r="F938" s="1"/>
      <c r="G938" s="1"/>
    </row>
    <row r="939" spans="1:7" ht="14.5" x14ac:dyDescent="0.35">
      <c r="A939" s="154"/>
      <c r="B939" s="154"/>
      <c r="C939" s="154"/>
      <c r="D939" s="1"/>
      <c r="E939" s="1"/>
      <c r="F939" s="1"/>
      <c r="G939" s="1"/>
    </row>
    <row r="940" spans="1:7" ht="14.5" x14ac:dyDescent="0.35">
      <c r="A940" s="154"/>
      <c r="B940" s="154"/>
      <c r="C940" s="154"/>
      <c r="D940" s="1"/>
      <c r="E940" s="1"/>
      <c r="F940" s="1"/>
      <c r="G940" s="1"/>
    </row>
    <row r="941" spans="1:7" ht="14.5" x14ac:dyDescent="0.35">
      <c r="A941" s="154"/>
      <c r="B941" s="154"/>
      <c r="C941" s="154"/>
      <c r="D941" s="1"/>
      <c r="E941" s="1"/>
      <c r="F941" s="1"/>
      <c r="G941" s="1"/>
    </row>
    <row r="942" spans="1:7" ht="14.5" x14ac:dyDescent="0.35">
      <c r="A942" s="154"/>
      <c r="B942" s="154"/>
      <c r="C942" s="154"/>
      <c r="D942" s="1"/>
      <c r="E942" s="1"/>
      <c r="F942" s="1"/>
      <c r="G942" s="1"/>
    </row>
    <row r="943" spans="1:7" ht="14.5" x14ac:dyDescent="0.35">
      <c r="A943" s="154"/>
      <c r="B943" s="154"/>
      <c r="C943" s="154"/>
      <c r="D943" s="1"/>
      <c r="E943" s="1"/>
      <c r="F943" s="1"/>
      <c r="G943" s="1"/>
    </row>
    <row r="944" spans="1:7" ht="14.5" x14ac:dyDescent="0.35">
      <c r="A944" s="154"/>
      <c r="B944" s="154"/>
      <c r="C944" s="154"/>
      <c r="D944" s="1"/>
      <c r="E944" s="1"/>
      <c r="F944" s="1"/>
      <c r="G944" s="1"/>
    </row>
    <row r="945" spans="1:7" ht="14.5" x14ac:dyDescent="0.35">
      <c r="A945" s="154"/>
      <c r="B945" s="154"/>
      <c r="C945" s="154"/>
      <c r="D945" s="1"/>
      <c r="E945" s="1"/>
      <c r="F945" s="1"/>
      <c r="G945" s="1"/>
    </row>
    <row r="946" spans="1:7" ht="14.5" x14ac:dyDescent="0.35">
      <c r="A946" s="154"/>
      <c r="B946" s="154"/>
      <c r="C946" s="154"/>
      <c r="D946" s="1"/>
      <c r="E946" s="1"/>
      <c r="F946" s="1"/>
      <c r="G946" s="1"/>
    </row>
    <row r="947" spans="1:7" ht="14.5" x14ac:dyDescent="0.35">
      <c r="A947" s="154"/>
      <c r="B947" s="154"/>
      <c r="C947" s="154"/>
      <c r="D947" s="1"/>
      <c r="E947" s="1"/>
      <c r="F947" s="1"/>
      <c r="G947" s="1"/>
    </row>
    <row r="948" spans="1:7" ht="14.5" x14ac:dyDescent="0.35">
      <c r="A948" s="154"/>
      <c r="B948" s="154"/>
      <c r="C948" s="154"/>
      <c r="D948" s="1"/>
      <c r="E948" s="1"/>
      <c r="F948" s="1"/>
      <c r="G948" s="1"/>
    </row>
    <row r="949" spans="1:7" ht="14.5" x14ac:dyDescent="0.35">
      <c r="A949" s="154"/>
      <c r="B949" s="154"/>
      <c r="C949" s="154"/>
      <c r="D949" s="1"/>
      <c r="E949" s="1"/>
      <c r="F949" s="1"/>
      <c r="G949" s="1"/>
    </row>
    <row r="950" spans="1:7" ht="14.5" x14ac:dyDescent="0.35">
      <c r="A950" s="154"/>
      <c r="B950" s="154"/>
      <c r="C950" s="154"/>
      <c r="D950" s="1"/>
      <c r="E950" s="1"/>
      <c r="F950" s="1"/>
      <c r="G950" s="1"/>
    </row>
    <row r="951" spans="1:7" ht="14.5" x14ac:dyDescent="0.35">
      <c r="A951" s="154"/>
      <c r="B951" s="154"/>
      <c r="C951" s="154"/>
      <c r="D951" s="1"/>
      <c r="E951" s="1"/>
      <c r="F951" s="1"/>
      <c r="G951" s="1"/>
    </row>
    <row r="952" spans="1:7" ht="14.5" x14ac:dyDescent="0.35">
      <c r="A952" s="154"/>
      <c r="B952" s="154"/>
      <c r="C952" s="154"/>
      <c r="D952" s="1"/>
      <c r="E952" s="1"/>
      <c r="F952" s="1"/>
      <c r="G952" s="1"/>
    </row>
    <row r="953" spans="1:7" ht="14.5" x14ac:dyDescent="0.35">
      <c r="A953" s="154"/>
      <c r="B953" s="154"/>
      <c r="C953" s="154"/>
      <c r="D953" s="1"/>
      <c r="E953" s="1"/>
      <c r="F953" s="1"/>
      <c r="G953" s="1"/>
    </row>
    <row r="954" spans="1:7" ht="14.5" x14ac:dyDescent="0.35">
      <c r="A954" s="154"/>
      <c r="B954" s="154"/>
      <c r="C954" s="154"/>
      <c r="D954" s="1"/>
      <c r="E954" s="1"/>
      <c r="F954" s="1"/>
      <c r="G954" s="1"/>
    </row>
    <row r="955" spans="1:7" ht="14.5" x14ac:dyDescent="0.35">
      <c r="A955" s="154"/>
      <c r="B955" s="154"/>
      <c r="C955" s="154"/>
      <c r="D955" s="1"/>
      <c r="E955" s="1"/>
      <c r="F955" s="1"/>
      <c r="G955" s="1"/>
    </row>
    <row r="956" spans="1:7" ht="14.5" x14ac:dyDescent="0.35">
      <c r="A956" s="154"/>
      <c r="B956" s="154"/>
      <c r="C956" s="154"/>
      <c r="D956" s="1"/>
      <c r="E956" s="1"/>
      <c r="F956" s="1"/>
      <c r="G956" s="1"/>
    </row>
    <row r="957" spans="1:7" ht="14.5" x14ac:dyDescent="0.35">
      <c r="A957" s="154"/>
      <c r="B957" s="154"/>
      <c r="C957" s="154"/>
      <c r="D957" s="1"/>
      <c r="E957" s="1"/>
      <c r="F957" s="1"/>
      <c r="G957" s="1"/>
    </row>
    <row r="958" spans="1:7" ht="14.5" x14ac:dyDescent="0.35">
      <c r="A958" s="154"/>
      <c r="B958" s="154"/>
      <c r="C958" s="154"/>
      <c r="D958" s="1"/>
      <c r="E958" s="1"/>
      <c r="F958" s="1"/>
      <c r="G958" s="1"/>
    </row>
    <row r="959" spans="1:7" ht="14.5" x14ac:dyDescent="0.35">
      <c r="A959" s="154"/>
      <c r="B959" s="154"/>
      <c r="C959" s="154"/>
      <c r="D959" s="1"/>
      <c r="E959" s="1"/>
      <c r="F959" s="1"/>
      <c r="G959" s="1"/>
    </row>
    <row r="960" spans="1:7" ht="14.5" x14ac:dyDescent="0.35">
      <c r="A960" s="154"/>
      <c r="B960" s="154"/>
      <c r="C960" s="154"/>
      <c r="D960" s="1"/>
      <c r="E960" s="1"/>
      <c r="F960" s="1"/>
      <c r="G960" s="1"/>
    </row>
    <row r="961" spans="1:7" ht="14.5" x14ac:dyDescent="0.35">
      <c r="A961" s="154"/>
      <c r="B961" s="154"/>
      <c r="C961" s="154"/>
      <c r="D961" s="1"/>
      <c r="E961" s="1"/>
      <c r="F961" s="1"/>
      <c r="G961" s="1"/>
    </row>
    <row r="962" spans="1:7" ht="14.5" x14ac:dyDescent="0.35">
      <c r="A962" s="154"/>
      <c r="B962" s="154"/>
      <c r="C962" s="154"/>
      <c r="D962" s="1"/>
      <c r="E962" s="1"/>
      <c r="F962" s="1"/>
      <c r="G962" s="1"/>
    </row>
    <row r="963" spans="1:7" ht="14.5" x14ac:dyDescent="0.35">
      <c r="A963" s="154"/>
      <c r="B963" s="154"/>
      <c r="C963" s="154"/>
      <c r="D963" s="1"/>
      <c r="E963" s="1"/>
      <c r="F963" s="1"/>
      <c r="G963" s="1"/>
    </row>
    <row r="964" spans="1:7" ht="14.5" x14ac:dyDescent="0.35">
      <c r="A964" s="154"/>
      <c r="B964" s="154"/>
      <c r="C964" s="154"/>
      <c r="D964" s="1"/>
      <c r="E964" s="1"/>
      <c r="F964" s="1"/>
      <c r="G964" s="1"/>
    </row>
    <row r="965" spans="1:7" ht="14.5" x14ac:dyDescent="0.35">
      <c r="A965" s="154"/>
      <c r="B965" s="154"/>
      <c r="C965" s="154"/>
      <c r="D965" s="1"/>
      <c r="E965" s="1"/>
      <c r="F965" s="1"/>
      <c r="G965" s="1"/>
    </row>
    <row r="966" spans="1:7" ht="14.5" x14ac:dyDescent="0.35">
      <c r="A966" s="154"/>
      <c r="B966" s="154"/>
      <c r="C966" s="154"/>
      <c r="D966" s="1"/>
      <c r="E966" s="1"/>
      <c r="F966" s="1"/>
      <c r="G966" s="1"/>
    </row>
    <row r="967" spans="1:7" ht="14.5" x14ac:dyDescent="0.35">
      <c r="A967" s="154"/>
      <c r="B967" s="154"/>
      <c r="C967" s="154"/>
      <c r="D967" s="1"/>
      <c r="E967" s="1"/>
      <c r="F967" s="1"/>
      <c r="G967" s="1"/>
    </row>
    <row r="968" spans="1:7" ht="14.5" x14ac:dyDescent="0.35">
      <c r="A968" s="154"/>
      <c r="B968" s="154"/>
      <c r="C968" s="154"/>
      <c r="D968" s="1"/>
      <c r="E968" s="1"/>
      <c r="F968" s="1"/>
      <c r="G968" s="1"/>
    </row>
    <row r="969" spans="1:7" ht="14.5" x14ac:dyDescent="0.35">
      <c r="A969" s="154"/>
      <c r="B969" s="154"/>
      <c r="C969" s="154"/>
      <c r="D969" s="1"/>
      <c r="E969" s="1"/>
      <c r="F969" s="1"/>
      <c r="G969" s="1"/>
    </row>
    <row r="970" spans="1:7" ht="14.5" x14ac:dyDescent="0.35">
      <c r="A970" s="154"/>
      <c r="B970" s="154"/>
      <c r="C970" s="154"/>
      <c r="D970" s="1"/>
      <c r="E970" s="1"/>
      <c r="F970" s="1"/>
      <c r="G970" s="1"/>
    </row>
    <row r="971" spans="1:7" ht="14.5" x14ac:dyDescent="0.35">
      <c r="A971" s="154"/>
      <c r="B971" s="154"/>
      <c r="C971" s="154"/>
      <c r="D971" s="1"/>
      <c r="E971" s="1"/>
      <c r="F971" s="1"/>
      <c r="G971" s="1"/>
    </row>
    <row r="972" spans="1:7" ht="14.5" x14ac:dyDescent="0.35">
      <c r="A972" s="154"/>
      <c r="B972" s="154"/>
      <c r="C972" s="154"/>
      <c r="D972" s="1"/>
      <c r="E972" s="1"/>
      <c r="F972" s="1"/>
      <c r="G972" s="1"/>
    </row>
    <row r="973" spans="1:7" ht="14.5" x14ac:dyDescent="0.35">
      <c r="A973" s="154"/>
      <c r="B973" s="154"/>
      <c r="C973" s="154"/>
      <c r="D973" s="1"/>
      <c r="E973" s="1"/>
      <c r="F973" s="1"/>
      <c r="G973" s="1"/>
    </row>
    <row r="974" spans="1:7" ht="14.5" x14ac:dyDescent="0.35">
      <c r="A974" s="154"/>
      <c r="B974" s="154"/>
      <c r="C974" s="154"/>
      <c r="D974" s="1"/>
      <c r="E974" s="1"/>
      <c r="F974" s="1"/>
      <c r="G974" s="1"/>
    </row>
    <row r="975" spans="1:7" ht="14.5" x14ac:dyDescent="0.35">
      <c r="A975" s="154"/>
      <c r="B975" s="154"/>
      <c r="C975" s="154"/>
      <c r="D975" s="1"/>
      <c r="E975" s="1"/>
      <c r="F975" s="1"/>
      <c r="G975" s="1"/>
    </row>
    <row r="976" spans="1:7" ht="14.5" x14ac:dyDescent="0.35">
      <c r="A976" s="154"/>
      <c r="B976" s="154"/>
      <c r="C976" s="154"/>
      <c r="D976" s="1"/>
      <c r="E976" s="1"/>
      <c r="F976" s="1"/>
      <c r="G976" s="1"/>
    </row>
    <row r="977" spans="1:7" ht="14.5" x14ac:dyDescent="0.35">
      <c r="A977" s="154"/>
      <c r="B977" s="154"/>
      <c r="C977" s="154"/>
      <c r="D977" s="1"/>
      <c r="E977" s="1"/>
      <c r="F977" s="1"/>
      <c r="G977" s="1"/>
    </row>
    <row r="978" spans="1:7" ht="14.5" x14ac:dyDescent="0.35">
      <c r="A978" s="154"/>
      <c r="B978" s="154"/>
      <c r="C978" s="154"/>
      <c r="D978" s="1"/>
      <c r="E978" s="1"/>
      <c r="F978" s="1"/>
      <c r="G978" s="1"/>
    </row>
    <row r="979" spans="1:7" ht="14.5" x14ac:dyDescent="0.35">
      <c r="A979" s="154"/>
      <c r="B979" s="154"/>
      <c r="C979" s="154"/>
      <c r="D979" s="1"/>
      <c r="E979" s="1"/>
      <c r="F979" s="1"/>
      <c r="G979" s="1"/>
    </row>
  </sheetData>
  <phoneticPr fontId="6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7DD5-441F-4E36-A8F0-DE21DA822D56}">
  <sheetPr>
    <pageSetUpPr fitToPage="1"/>
  </sheetPr>
  <dimension ref="A1:I41"/>
  <sheetViews>
    <sheetView view="pageBreakPreview" zoomScale="96" zoomScaleNormal="100" workbookViewId="0">
      <selection activeCell="A6" sqref="A6:B6"/>
    </sheetView>
  </sheetViews>
  <sheetFormatPr baseColWidth="10" defaultColWidth="10" defaultRowHeight="14.5" x14ac:dyDescent="0.35"/>
  <cols>
    <col min="1" max="1" width="10" style="155"/>
    <col min="2" max="2" width="11.81640625" style="155" customWidth="1"/>
    <col min="3" max="3" width="17.54296875" style="155" customWidth="1"/>
    <col min="4" max="5" width="10" style="155"/>
    <col min="6" max="6" width="16.26953125" style="155" customWidth="1"/>
    <col min="7" max="7" width="33.7265625" style="155" customWidth="1"/>
    <col min="8" max="8" width="14" style="155" customWidth="1"/>
    <col min="9" max="9" width="22.54296875" style="155" customWidth="1"/>
    <col min="10" max="16384" width="10" style="155"/>
  </cols>
  <sheetData>
    <row r="1" spans="1:9" ht="56.9" customHeight="1" x14ac:dyDescent="0.35">
      <c r="A1" s="193" t="s">
        <v>1750</v>
      </c>
      <c r="B1" s="194"/>
      <c r="C1" s="194"/>
      <c r="D1" s="194"/>
      <c r="E1" s="194"/>
      <c r="F1" s="194"/>
      <c r="G1" s="194"/>
      <c r="H1" s="194"/>
      <c r="I1" s="195"/>
    </row>
    <row r="2" spans="1:9" ht="36" customHeight="1" thickBot="1" x14ac:dyDescent="0.4">
      <c r="A2" s="196" t="s">
        <v>1751</v>
      </c>
      <c r="B2" s="197"/>
      <c r="C2" s="156" t="s">
        <v>1752</v>
      </c>
      <c r="D2" s="156" t="s">
        <v>1753</v>
      </c>
      <c r="E2" s="156" t="s">
        <v>1754</v>
      </c>
      <c r="F2" s="198" t="s">
        <v>1755</v>
      </c>
      <c r="G2" s="199"/>
      <c r="H2" s="200">
        <f ca="1">NOW()</f>
        <v>45768.130753240737</v>
      </c>
      <c r="I2" s="201"/>
    </row>
    <row r="3" spans="1:9" ht="24.65" customHeight="1" x14ac:dyDescent="0.35">
      <c r="A3" s="202" t="s">
        <v>1756</v>
      </c>
      <c r="B3" s="203"/>
      <c r="C3" s="208"/>
      <c r="D3" s="209"/>
      <c r="E3" s="209"/>
      <c r="F3" s="209"/>
      <c r="G3" s="209"/>
      <c r="H3" s="209"/>
      <c r="I3" s="201"/>
    </row>
    <row r="4" spans="1:9" ht="24.65" customHeight="1" x14ac:dyDescent="0.35">
      <c r="A4" s="204"/>
      <c r="B4" s="205"/>
      <c r="C4" s="208" t="s">
        <v>1757</v>
      </c>
      <c r="D4" s="209"/>
      <c r="E4" s="209"/>
      <c r="F4" s="209"/>
      <c r="G4" s="209"/>
      <c r="H4" s="209"/>
      <c r="I4" s="201"/>
    </row>
    <row r="5" spans="1:9" ht="31.4" customHeight="1" thickBot="1" x14ac:dyDescent="0.4">
      <c r="A5" s="206"/>
      <c r="B5" s="207"/>
      <c r="C5" s="208"/>
      <c r="D5" s="209"/>
      <c r="E5" s="209"/>
      <c r="F5" s="209"/>
      <c r="G5" s="209"/>
      <c r="H5" s="209"/>
      <c r="I5" s="201"/>
    </row>
    <row r="6" spans="1:9" ht="40.15" customHeight="1" thickBot="1" x14ac:dyDescent="0.4">
      <c r="A6" s="210" t="s">
        <v>1758</v>
      </c>
      <c r="B6" s="211"/>
      <c r="C6" s="212" t="s">
        <v>567</v>
      </c>
      <c r="D6" s="213"/>
      <c r="E6" s="213"/>
      <c r="F6" s="213"/>
      <c r="G6" s="214"/>
      <c r="H6" s="157" t="s">
        <v>1759</v>
      </c>
      <c r="I6" s="158">
        <v>60000</v>
      </c>
    </row>
    <row r="7" spans="1:9" ht="34.5" customHeight="1" thickBot="1" x14ac:dyDescent="0.4">
      <c r="A7" s="210" t="s">
        <v>1760</v>
      </c>
      <c r="B7" s="211"/>
      <c r="C7" s="215" t="s">
        <v>1761</v>
      </c>
      <c r="D7" s="216"/>
      <c r="E7" s="216"/>
      <c r="F7" s="216"/>
      <c r="G7" s="217"/>
      <c r="H7" s="157" t="s">
        <v>1759</v>
      </c>
      <c r="I7" s="158">
        <v>1000000</v>
      </c>
    </row>
    <row r="8" spans="1:9" ht="34.15" customHeight="1" thickBot="1" x14ac:dyDescent="0.4">
      <c r="A8" s="210" t="s">
        <v>1762</v>
      </c>
      <c r="B8" s="211"/>
      <c r="C8" s="218" t="s">
        <v>593</v>
      </c>
      <c r="D8" s="219"/>
      <c r="E8" s="219"/>
      <c r="F8" s="219"/>
      <c r="G8" s="220"/>
      <c r="H8" s="157" t="s">
        <v>1759</v>
      </c>
      <c r="I8" s="158">
        <v>50000</v>
      </c>
    </row>
    <row r="9" spans="1:9" ht="31.5" customHeight="1" thickBot="1" x14ac:dyDescent="0.4">
      <c r="A9" s="210" t="s">
        <v>1763</v>
      </c>
      <c r="B9" s="211"/>
      <c r="C9" s="221" t="s">
        <v>1764</v>
      </c>
      <c r="D9" s="222"/>
      <c r="E9" s="222"/>
      <c r="F9" s="222"/>
      <c r="G9" s="223"/>
      <c r="H9" s="157" t="s">
        <v>1759</v>
      </c>
      <c r="I9" s="158">
        <v>40000</v>
      </c>
    </row>
    <row r="10" spans="1:9" ht="30.4" customHeight="1" thickBot="1" x14ac:dyDescent="0.4">
      <c r="A10" s="210" t="s">
        <v>1765</v>
      </c>
      <c r="B10" s="211"/>
      <c r="C10" s="221" t="s">
        <v>1766</v>
      </c>
      <c r="D10" s="222"/>
      <c r="E10" s="222"/>
      <c r="F10" s="222"/>
      <c r="G10" s="223"/>
      <c r="H10" s="159" t="s">
        <v>1759</v>
      </c>
      <c r="I10" s="158">
        <v>40000</v>
      </c>
    </row>
    <row r="11" spans="1:9" ht="16" thickBot="1" x14ac:dyDescent="0.4">
      <c r="A11" s="210"/>
      <c r="B11" s="211"/>
      <c r="C11" s="224"/>
      <c r="D11" s="225"/>
      <c r="E11" s="225"/>
      <c r="F11" s="225"/>
      <c r="G11" s="226"/>
      <c r="H11" s="159"/>
      <c r="I11" s="160"/>
    </row>
    <row r="12" spans="1:9" ht="27" customHeight="1" thickBot="1" x14ac:dyDescent="0.4">
      <c r="A12" s="210"/>
      <c r="B12" s="211"/>
      <c r="C12" s="227"/>
      <c r="D12" s="225"/>
      <c r="E12" s="225"/>
      <c r="F12" s="225"/>
      <c r="G12" s="226"/>
      <c r="H12" s="159"/>
      <c r="I12" s="161"/>
    </row>
    <row r="13" spans="1:9" ht="16" thickBot="1" x14ac:dyDescent="0.4">
      <c r="A13" s="210"/>
      <c r="B13" s="211"/>
      <c r="C13" s="224"/>
      <c r="D13" s="225"/>
      <c r="E13" s="225"/>
      <c r="F13" s="225"/>
      <c r="G13" s="226"/>
      <c r="H13" s="159"/>
      <c r="I13" s="161"/>
    </row>
    <row r="14" spans="1:9" ht="16.149999999999999" hidden="1" customHeight="1" thickBot="1" x14ac:dyDescent="0.4">
      <c r="A14" s="210"/>
      <c r="B14" s="211"/>
      <c r="C14" s="224"/>
      <c r="D14" s="228"/>
      <c r="E14" s="228"/>
      <c r="F14" s="228"/>
      <c r="G14" s="229"/>
      <c r="H14" s="159" t="s">
        <v>1759</v>
      </c>
      <c r="I14" s="161"/>
    </row>
    <row r="15" spans="1:9" ht="16.149999999999999" hidden="1" customHeight="1" thickBot="1" x14ac:dyDescent="0.4">
      <c r="A15" s="210"/>
      <c r="B15" s="211"/>
      <c r="C15" s="224"/>
      <c r="D15" s="225"/>
      <c r="E15" s="225"/>
      <c r="F15" s="225"/>
      <c r="G15" s="226"/>
      <c r="H15" s="159" t="s">
        <v>1759</v>
      </c>
      <c r="I15" s="162"/>
    </row>
    <row r="16" spans="1:9" ht="16.149999999999999" hidden="1" customHeight="1" thickBot="1" x14ac:dyDescent="0.4">
      <c r="A16" s="210"/>
      <c r="B16" s="211"/>
      <c r="C16" s="224"/>
      <c r="D16" s="225"/>
      <c r="E16" s="225"/>
      <c r="F16" s="225"/>
      <c r="G16" s="226"/>
      <c r="H16" s="159" t="s">
        <v>1759</v>
      </c>
      <c r="I16" s="162"/>
    </row>
    <row r="17" spans="1:9" ht="16.149999999999999" hidden="1" customHeight="1" thickBot="1" x14ac:dyDescent="0.4">
      <c r="A17" s="210"/>
      <c r="B17" s="211"/>
      <c r="C17" s="224"/>
      <c r="D17" s="228"/>
      <c r="E17" s="228"/>
      <c r="F17" s="228"/>
      <c r="G17" s="229"/>
      <c r="H17" s="159" t="s">
        <v>1759</v>
      </c>
      <c r="I17" s="162"/>
    </row>
    <row r="18" spans="1:9" ht="16.149999999999999" hidden="1" customHeight="1" thickBot="1" x14ac:dyDescent="0.4">
      <c r="A18" s="210"/>
      <c r="B18" s="211"/>
      <c r="C18" s="224"/>
      <c r="D18" s="225"/>
      <c r="E18" s="225"/>
      <c r="F18" s="225"/>
      <c r="G18" s="226"/>
      <c r="H18" s="159" t="s">
        <v>1759</v>
      </c>
      <c r="I18" s="158"/>
    </row>
    <row r="19" spans="1:9" ht="16.149999999999999" hidden="1" customHeight="1" thickBot="1" x14ac:dyDescent="0.4">
      <c r="A19" s="210"/>
      <c r="B19" s="211"/>
      <c r="C19" s="224"/>
      <c r="D19" s="225"/>
      <c r="E19" s="225"/>
      <c r="F19" s="225"/>
      <c r="G19" s="226"/>
      <c r="H19" s="159" t="s">
        <v>1759</v>
      </c>
      <c r="I19" s="158"/>
    </row>
    <row r="20" spans="1:9" ht="16.149999999999999" hidden="1" customHeight="1" thickBot="1" x14ac:dyDescent="0.4">
      <c r="A20" s="210"/>
      <c r="B20" s="211"/>
      <c r="C20" s="224"/>
      <c r="D20" s="225"/>
      <c r="E20" s="225"/>
      <c r="F20" s="225"/>
      <c r="G20" s="226"/>
      <c r="H20" s="159" t="s">
        <v>1759</v>
      </c>
      <c r="I20" s="158"/>
    </row>
    <row r="21" spans="1:9" ht="16" thickBot="1" x14ac:dyDescent="0.4">
      <c r="A21" s="210"/>
      <c r="B21" s="211"/>
      <c r="C21" s="224" t="s">
        <v>1767</v>
      </c>
      <c r="D21" s="225"/>
      <c r="E21" s="225"/>
      <c r="F21" s="225"/>
      <c r="G21" s="225"/>
      <c r="H21" s="226"/>
      <c r="I21" s="162">
        <f>SUM(I6:I20)</f>
        <v>1190000</v>
      </c>
    </row>
    <row r="22" spans="1:9" x14ac:dyDescent="0.35">
      <c r="A22" s="230" t="s">
        <v>1768</v>
      </c>
      <c r="B22" s="231"/>
      <c r="C22" s="233">
        <f>I21</f>
        <v>1190000</v>
      </c>
      <c r="D22" s="234"/>
      <c r="E22" s="237" t="s">
        <v>1769</v>
      </c>
      <c r="F22" s="234"/>
      <c r="G22" s="239" t="s">
        <v>1770</v>
      </c>
      <c r="H22" s="240"/>
      <c r="I22" s="241"/>
    </row>
    <row r="23" spans="1:9" ht="15" thickBot="1" x14ac:dyDescent="0.4">
      <c r="A23" s="232"/>
      <c r="B23" s="232"/>
      <c r="C23" s="235"/>
      <c r="D23" s="236"/>
      <c r="E23" s="238"/>
      <c r="F23" s="236"/>
      <c r="G23" s="242"/>
      <c r="H23" s="243"/>
      <c r="I23" s="244"/>
    </row>
    <row r="24" spans="1:9" ht="15.5" x14ac:dyDescent="0.35">
      <c r="A24" s="245" t="s">
        <v>0</v>
      </c>
      <c r="B24" s="231"/>
      <c r="C24" s="203"/>
      <c r="D24" s="245" t="s">
        <v>1771</v>
      </c>
      <c r="E24" s="231"/>
      <c r="F24" s="203"/>
      <c r="G24" s="246" t="s">
        <v>1772</v>
      </c>
      <c r="H24" s="245" t="s">
        <v>1773</v>
      </c>
      <c r="I24" s="248"/>
    </row>
    <row r="25" spans="1:9" ht="16" thickBot="1" x14ac:dyDescent="0.4">
      <c r="A25" s="249" t="s">
        <v>1774</v>
      </c>
      <c r="B25" s="251"/>
      <c r="C25" s="205"/>
      <c r="D25" s="249" t="s">
        <v>1775</v>
      </c>
      <c r="E25" s="251"/>
      <c r="F25" s="205"/>
      <c r="G25" s="247"/>
      <c r="H25" s="249"/>
      <c r="I25" s="250"/>
    </row>
    <row r="26" spans="1:9" ht="26.25" customHeight="1" x14ac:dyDescent="0.35">
      <c r="A26" s="163" t="s">
        <v>1776</v>
      </c>
      <c r="B26" s="254">
        <f>'[39]1.Costed Workplan'!B54</f>
        <v>0</v>
      </c>
      <c r="C26" s="255"/>
      <c r="D26" s="163" t="s">
        <v>1777</v>
      </c>
      <c r="E26" s="254" t="str">
        <f>'[39]1.Costed Workplan'!B59</f>
        <v>DR TCHONKONTE CHRISTIAN</v>
      </c>
      <c r="F26" s="255"/>
      <c r="G26" s="165" t="s">
        <v>1778</v>
      </c>
      <c r="H26" s="163" t="s">
        <v>1777</v>
      </c>
      <c r="I26" s="164"/>
    </row>
    <row r="27" spans="1:9" ht="37.4" customHeight="1" x14ac:dyDescent="0.35">
      <c r="A27" s="166" t="s">
        <v>1779</v>
      </c>
      <c r="B27" s="256">
        <f ca="1">TODAY()</f>
        <v>45768</v>
      </c>
      <c r="C27" s="257"/>
      <c r="D27" s="166" t="s">
        <v>1779</v>
      </c>
      <c r="E27" s="258"/>
      <c r="F27" s="259"/>
      <c r="G27" s="168" t="s">
        <v>1779</v>
      </c>
      <c r="H27" s="166" t="s">
        <v>1779</v>
      </c>
      <c r="I27" s="167"/>
    </row>
    <row r="28" spans="1:9" ht="59.9" customHeight="1" x14ac:dyDescent="0.35">
      <c r="A28" s="169" t="s">
        <v>1780</v>
      </c>
      <c r="B28" s="260"/>
      <c r="C28" s="261"/>
      <c r="D28" s="169" t="s">
        <v>1780</v>
      </c>
      <c r="E28" s="170"/>
      <c r="F28" s="171"/>
      <c r="G28" s="172" t="s">
        <v>1780</v>
      </c>
      <c r="H28" s="169" t="s">
        <v>1780</v>
      </c>
      <c r="I28" s="173"/>
    </row>
    <row r="29" spans="1:9" ht="15" thickBot="1" x14ac:dyDescent="0.4">
      <c r="A29" s="174"/>
      <c r="B29" s="175"/>
      <c r="C29" s="176"/>
      <c r="D29" s="174"/>
      <c r="E29" s="175"/>
      <c r="F29" s="176"/>
      <c r="G29" s="177"/>
      <c r="H29" s="174"/>
      <c r="I29" s="176"/>
    </row>
    <row r="30" spans="1:9" x14ac:dyDescent="0.35">
      <c r="A30" s="262" t="s">
        <v>1781</v>
      </c>
      <c r="B30" s="251"/>
      <c r="C30" s="251"/>
      <c r="D30" s="251"/>
      <c r="E30" s="251"/>
      <c r="F30" s="251"/>
      <c r="G30" s="251"/>
      <c r="H30" s="251"/>
      <c r="I30" s="205"/>
    </row>
    <row r="31" spans="1:9" ht="15" thickBot="1" x14ac:dyDescent="0.4">
      <c r="A31" s="206"/>
      <c r="B31" s="263"/>
      <c r="C31" s="263"/>
      <c r="D31" s="263"/>
      <c r="E31" s="263"/>
      <c r="F31" s="263"/>
      <c r="G31" s="263"/>
      <c r="H31" s="263"/>
      <c r="I31" s="207"/>
    </row>
    <row r="32" spans="1:9" ht="18.5" x14ac:dyDescent="0.45">
      <c r="A32" s="264" t="s">
        <v>1782</v>
      </c>
      <c r="B32" s="199"/>
      <c r="C32" s="265"/>
      <c r="D32" s="194"/>
      <c r="E32" s="266"/>
      <c r="F32" s="178" t="s">
        <v>1783</v>
      </c>
      <c r="G32" s="267"/>
      <c r="H32" s="209"/>
      <c r="I32" s="201"/>
    </row>
    <row r="33" spans="1:9" ht="18.5" x14ac:dyDescent="0.35">
      <c r="A33" s="264" t="s">
        <v>1784</v>
      </c>
      <c r="B33" s="199"/>
      <c r="C33" s="268"/>
      <c r="D33" s="209"/>
      <c r="E33" s="209"/>
      <c r="F33" s="209"/>
      <c r="G33" s="209"/>
      <c r="H33" s="209"/>
      <c r="I33" s="201"/>
    </row>
    <row r="34" spans="1:9" ht="18.5" x14ac:dyDescent="0.35">
      <c r="A34" s="252" t="s">
        <v>1785</v>
      </c>
      <c r="B34" s="209"/>
      <c r="C34" s="253"/>
      <c r="D34" s="209"/>
      <c r="E34" s="209"/>
      <c r="F34" s="209"/>
      <c r="G34" s="209"/>
      <c r="H34" s="209"/>
      <c r="I34" s="201"/>
    </row>
    <row r="35" spans="1:9" ht="15.5" x14ac:dyDescent="0.35">
      <c r="A35" s="264" t="s">
        <v>1786</v>
      </c>
      <c r="B35" s="199"/>
      <c r="C35" s="269"/>
      <c r="D35" s="209"/>
      <c r="E35" s="209"/>
      <c r="F35" s="199"/>
      <c r="G35" s="179" t="s">
        <v>1787</v>
      </c>
      <c r="H35" s="270"/>
      <c r="I35" s="201"/>
    </row>
    <row r="36" spans="1:9" x14ac:dyDescent="0.3">
      <c r="A36" s="271" t="s">
        <v>1788</v>
      </c>
      <c r="B36" s="272"/>
      <c r="C36" s="274"/>
      <c r="D36" s="272"/>
      <c r="E36" s="272"/>
      <c r="F36" s="197"/>
      <c r="G36" s="180" t="s">
        <v>1789</v>
      </c>
      <c r="H36" s="181"/>
      <c r="I36" s="182"/>
    </row>
    <row r="37" spans="1:9" x14ac:dyDescent="0.3">
      <c r="A37" s="204"/>
      <c r="B37" s="273"/>
      <c r="C37" s="273"/>
      <c r="D37" s="273"/>
      <c r="E37" s="273"/>
      <c r="F37" s="275"/>
      <c r="G37" s="180" t="s">
        <v>1790</v>
      </c>
      <c r="H37" s="183"/>
      <c r="I37" s="184"/>
    </row>
    <row r="38" spans="1:9" x14ac:dyDescent="0.3">
      <c r="A38" s="204"/>
      <c r="B38" s="273"/>
      <c r="C38" s="273"/>
      <c r="D38" s="273"/>
      <c r="E38" s="273"/>
      <c r="F38" s="275"/>
      <c r="G38" s="180" t="s">
        <v>1791</v>
      </c>
      <c r="H38" s="183"/>
      <c r="I38" s="184"/>
    </row>
    <row r="39" spans="1:9" x14ac:dyDescent="0.3">
      <c r="A39" s="204"/>
      <c r="B39" s="273"/>
      <c r="C39" s="273"/>
      <c r="D39" s="273"/>
      <c r="E39" s="273"/>
      <c r="F39" s="275"/>
      <c r="G39" s="180" t="s">
        <v>1792</v>
      </c>
      <c r="H39" s="183"/>
      <c r="I39" s="184"/>
    </row>
    <row r="40" spans="1:9" x14ac:dyDescent="0.3">
      <c r="A40" s="235"/>
      <c r="B40" s="232"/>
      <c r="C40" s="232"/>
      <c r="D40" s="232"/>
      <c r="E40" s="232"/>
      <c r="F40" s="236"/>
      <c r="G40" s="185"/>
      <c r="H40" s="183"/>
      <c r="I40" s="184"/>
    </row>
    <row r="41" spans="1:9" ht="15" thickBot="1" x14ac:dyDescent="0.4">
      <c r="A41" s="186"/>
      <c r="B41" s="187"/>
      <c r="C41" s="187"/>
      <c r="D41" s="187"/>
      <c r="E41" s="187"/>
      <c r="F41" s="187"/>
      <c r="G41" s="187"/>
      <c r="H41" s="187"/>
      <c r="I41" s="188"/>
    </row>
  </sheetData>
  <mergeCells count="68">
    <mergeCell ref="A35:B35"/>
    <mergeCell ref="C35:F35"/>
    <mergeCell ref="H35:I35"/>
    <mergeCell ref="A36:B40"/>
    <mergeCell ref="C36:F40"/>
    <mergeCell ref="A34:B34"/>
    <mergeCell ref="C34:I34"/>
    <mergeCell ref="B26:C26"/>
    <mergeCell ref="E26:F26"/>
    <mergeCell ref="B27:C27"/>
    <mergeCell ref="E27:F27"/>
    <mergeCell ref="B28:C28"/>
    <mergeCell ref="A30:I31"/>
    <mergeCell ref="A32:B32"/>
    <mergeCell ref="C32:E32"/>
    <mergeCell ref="G32:I32"/>
    <mergeCell ref="A33:B33"/>
    <mergeCell ref="C33:I33"/>
    <mergeCell ref="A24:C24"/>
    <mergeCell ref="D24:F24"/>
    <mergeCell ref="G24:G25"/>
    <mergeCell ref="H24:I25"/>
    <mergeCell ref="A25:C25"/>
    <mergeCell ref="D25:F25"/>
    <mergeCell ref="A21:B21"/>
    <mergeCell ref="C21:H21"/>
    <mergeCell ref="A22:B23"/>
    <mergeCell ref="C22:D23"/>
    <mergeCell ref="E22:F23"/>
    <mergeCell ref="G22:I23"/>
    <mergeCell ref="A18:B18"/>
    <mergeCell ref="C18:G18"/>
    <mergeCell ref="A19:B19"/>
    <mergeCell ref="C19:G19"/>
    <mergeCell ref="A20:B20"/>
    <mergeCell ref="C20:G20"/>
    <mergeCell ref="A15:B15"/>
    <mergeCell ref="C15:G15"/>
    <mergeCell ref="A16:B16"/>
    <mergeCell ref="C16:G16"/>
    <mergeCell ref="A17:B17"/>
    <mergeCell ref="C17:G17"/>
    <mergeCell ref="A12:B12"/>
    <mergeCell ref="C12:G12"/>
    <mergeCell ref="A13:B13"/>
    <mergeCell ref="C13:G13"/>
    <mergeCell ref="A14:B14"/>
    <mergeCell ref="C14:G14"/>
    <mergeCell ref="A9:B9"/>
    <mergeCell ref="C9:G9"/>
    <mergeCell ref="A10:B10"/>
    <mergeCell ref="C10:G10"/>
    <mergeCell ref="A11:B11"/>
    <mergeCell ref="C11:G11"/>
    <mergeCell ref="A6:B6"/>
    <mergeCell ref="C6:G6"/>
    <mergeCell ref="A7:B7"/>
    <mergeCell ref="C7:G7"/>
    <mergeCell ref="A8:B8"/>
    <mergeCell ref="C8:G8"/>
    <mergeCell ref="A1:I1"/>
    <mergeCell ref="A2:B2"/>
    <mergeCell ref="F2:G2"/>
    <mergeCell ref="H2:I2"/>
    <mergeCell ref="A3:B5"/>
    <mergeCell ref="C3:I3"/>
    <mergeCell ref="C4:I4"/>
    <mergeCell ref="C5:I5"/>
  </mergeCells>
  <pageMargins left="0.7" right="0.7" top="0.75" bottom="0.75" header="0.3" footer="0.3"/>
  <pageSetup paperSize="9" scale="5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F1D4C-3A0E-44AC-9EBA-3F759311CDFB}">
  <dimension ref="A1:BN1340"/>
  <sheetViews>
    <sheetView workbookViewId="0">
      <selection activeCell="R9" sqref="R9"/>
    </sheetView>
  </sheetViews>
  <sheetFormatPr baseColWidth="10" defaultColWidth="14.453125" defaultRowHeight="22.5" customHeight="1" x14ac:dyDescent="0.35"/>
  <cols>
    <col min="1" max="1" width="12.81640625" style="27" customWidth="1"/>
    <col min="2" max="2" width="81" style="26" customWidth="1"/>
    <col min="3" max="3" width="11" style="54" customWidth="1"/>
    <col min="4" max="4" width="14.81640625" style="28" hidden="1" customWidth="1"/>
    <col min="5" max="5" width="18" style="28" hidden="1" customWidth="1"/>
    <col min="6" max="6" width="14.54296875" style="28" hidden="1" customWidth="1"/>
    <col min="7" max="7" width="18.54296875" style="29" hidden="1" customWidth="1"/>
    <col min="8" max="8" width="17.54296875" style="28" hidden="1" customWidth="1"/>
    <col min="9" max="9" width="17.1796875" style="28" hidden="1" customWidth="1"/>
    <col min="10" max="10" width="18.54296875" style="28" hidden="1" customWidth="1"/>
    <col min="11" max="11" width="15.453125" style="28" hidden="1" customWidth="1"/>
    <col min="12" max="12" width="16.54296875" style="28" hidden="1" customWidth="1"/>
    <col min="13" max="13" width="19" style="28" hidden="1" customWidth="1"/>
    <col min="14" max="14" width="21.26953125" style="28" hidden="1" customWidth="1"/>
    <col min="15" max="15" width="17.54296875" style="28" hidden="1" customWidth="1"/>
    <col min="16" max="16" width="22.1796875" style="28" hidden="1" customWidth="1"/>
    <col min="17" max="16384" width="14.453125" style="10"/>
  </cols>
  <sheetData>
    <row r="1" spans="1:17" ht="22.5" customHeight="1" x14ac:dyDescent="0.35">
      <c r="A1" s="276"/>
      <c r="B1" s="277"/>
      <c r="C1" s="278"/>
      <c r="D1" s="6"/>
      <c r="E1" s="7"/>
      <c r="F1" s="8"/>
      <c r="G1" s="9"/>
      <c r="H1" s="8"/>
      <c r="I1" s="8"/>
      <c r="J1" s="8"/>
      <c r="K1" s="8"/>
      <c r="L1" s="8"/>
      <c r="M1" s="8"/>
      <c r="N1" s="8"/>
      <c r="O1" s="8"/>
      <c r="P1" s="8"/>
    </row>
    <row r="2" spans="1:17" s="17" customFormat="1" ht="22.5" customHeight="1" x14ac:dyDescent="0.35">
      <c r="A2" s="11"/>
      <c r="B2" s="12" t="s">
        <v>2</v>
      </c>
      <c r="C2" s="30" t="s">
        <v>218</v>
      </c>
      <c r="D2" s="13" t="s">
        <v>5</v>
      </c>
      <c r="E2" s="14" t="s">
        <v>6</v>
      </c>
      <c r="F2" s="14" t="s">
        <v>7</v>
      </c>
      <c r="G2" s="15" t="s">
        <v>8</v>
      </c>
      <c r="H2" s="14" t="s">
        <v>9</v>
      </c>
      <c r="I2" s="14" t="s">
        <v>10</v>
      </c>
      <c r="J2" s="14" t="s">
        <v>11</v>
      </c>
      <c r="K2" s="14" t="s">
        <v>12</v>
      </c>
      <c r="L2" s="14" t="s">
        <v>13</v>
      </c>
      <c r="M2" s="14" t="s">
        <v>14</v>
      </c>
      <c r="N2" s="14" t="s">
        <v>15</v>
      </c>
      <c r="O2" s="14" t="s">
        <v>16</v>
      </c>
      <c r="P2" s="14" t="s">
        <v>17</v>
      </c>
      <c r="Q2" s="16"/>
    </row>
    <row r="3" spans="1:17" ht="22.5" customHeight="1" x14ac:dyDescent="0.35">
      <c r="A3" s="18" t="s">
        <v>2</v>
      </c>
      <c r="B3" s="18" t="s">
        <v>18</v>
      </c>
      <c r="C3" s="31" t="s">
        <v>219</v>
      </c>
      <c r="D3" s="32"/>
      <c r="E3" s="32"/>
      <c r="F3" s="32"/>
      <c r="G3" s="33"/>
      <c r="H3" s="32"/>
      <c r="I3" s="32"/>
      <c r="J3" s="32"/>
      <c r="K3" s="32"/>
      <c r="L3" s="32"/>
      <c r="M3" s="32"/>
      <c r="N3" s="32"/>
      <c r="O3" s="32"/>
      <c r="P3" s="32"/>
    </row>
    <row r="4" spans="1:17" ht="22.5" customHeight="1" x14ac:dyDescent="0.35">
      <c r="A4" s="34" t="s">
        <v>1</v>
      </c>
      <c r="B4" s="35" t="s">
        <v>20</v>
      </c>
      <c r="C4" s="36" t="s">
        <v>220</v>
      </c>
      <c r="D4" s="32">
        <v>1</v>
      </c>
      <c r="E4" s="32"/>
      <c r="F4" s="32"/>
      <c r="G4" s="33"/>
      <c r="H4" s="32"/>
      <c r="I4" s="32"/>
      <c r="J4" s="32"/>
      <c r="K4" s="32">
        <v>1</v>
      </c>
      <c r="L4" s="32"/>
      <c r="M4" s="32"/>
      <c r="N4" s="32">
        <v>20</v>
      </c>
      <c r="O4" s="32"/>
      <c r="P4" s="32">
        <v>5000</v>
      </c>
    </row>
    <row r="5" spans="1:17" ht="22.5" customHeight="1" x14ac:dyDescent="0.35">
      <c r="A5" s="279" t="s">
        <v>221</v>
      </c>
      <c r="B5" s="37" t="s">
        <v>23</v>
      </c>
      <c r="C5" s="36" t="s">
        <v>222</v>
      </c>
      <c r="D5" s="32">
        <v>1</v>
      </c>
      <c r="E5" s="32"/>
      <c r="F5" s="32"/>
      <c r="G5" s="33"/>
      <c r="H5" s="32"/>
      <c r="I5" s="32"/>
      <c r="J5" s="32"/>
      <c r="K5" s="32">
        <v>1</v>
      </c>
      <c r="L5" s="32"/>
      <c r="M5" s="32"/>
      <c r="N5" s="32">
        <v>20</v>
      </c>
      <c r="O5" s="32"/>
      <c r="P5" s="32">
        <v>5000</v>
      </c>
    </row>
    <row r="6" spans="1:17" ht="22.5" customHeight="1" x14ac:dyDescent="0.35">
      <c r="A6" s="279"/>
      <c r="B6" s="37" t="s">
        <v>26</v>
      </c>
      <c r="C6" s="36" t="s">
        <v>223</v>
      </c>
      <c r="D6" s="32"/>
      <c r="E6" s="32"/>
      <c r="F6" s="32"/>
      <c r="G6" s="33"/>
      <c r="H6" s="32"/>
      <c r="I6" s="32"/>
      <c r="J6" s="32"/>
      <c r="K6" s="32"/>
      <c r="L6" s="32"/>
      <c r="M6" s="32"/>
      <c r="N6" s="32"/>
      <c r="O6" s="32"/>
      <c r="P6" s="32"/>
    </row>
    <row r="7" spans="1:17" ht="22.5" customHeight="1" x14ac:dyDescent="0.35">
      <c r="A7" s="34" t="s">
        <v>1</v>
      </c>
      <c r="B7" s="35" t="s">
        <v>22</v>
      </c>
      <c r="C7" s="36" t="s">
        <v>224</v>
      </c>
      <c r="D7" s="32">
        <v>1</v>
      </c>
      <c r="E7" s="32"/>
      <c r="F7" s="32"/>
      <c r="G7" s="33"/>
      <c r="H7" s="32"/>
      <c r="I7" s="32"/>
      <c r="J7" s="32"/>
      <c r="K7" s="32"/>
      <c r="L7" s="32"/>
      <c r="M7" s="32"/>
      <c r="N7" s="32"/>
      <c r="O7" s="32"/>
      <c r="P7" s="32"/>
    </row>
    <row r="8" spans="1:17" ht="22.5" customHeight="1" x14ac:dyDescent="0.35">
      <c r="A8" s="34" t="s">
        <v>1</v>
      </c>
      <c r="B8" s="35" t="s">
        <v>25</v>
      </c>
      <c r="C8" s="36" t="s">
        <v>225</v>
      </c>
      <c r="D8" s="32">
        <v>1</v>
      </c>
      <c r="E8" s="32"/>
      <c r="F8" s="32">
        <v>20</v>
      </c>
      <c r="G8" s="33">
        <v>40000</v>
      </c>
      <c r="H8" s="32">
        <v>40000</v>
      </c>
      <c r="I8" s="32">
        <v>22</v>
      </c>
      <c r="J8" s="32">
        <v>40000</v>
      </c>
      <c r="K8" s="32">
        <v>3</v>
      </c>
      <c r="L8" s="32">
        <v>10000</v>
      </c>
      <c r="M8" s="32">
        <v>300000</v>
      </c>
      <c r="N8" s="32">
        <v>45</v>
      </c>
      <c r="O8" s="32">
        <v>2500</v>
      </c>
      <c r="P8" s="32">
        <v>15000</v>
      </c>
    </row>
    <row r="9" spans="1:17" ht="22.5" customHeight="1" x14ac:dyDescent="0.35">
      <c r="A9" s="34"/>
      <c r="B9" s="38" t="s">
        <v>32</v>
      </c>
      <c r="C9" s="36" t="s">
        <v>226</v>
      </c>
      <c r="D9" s="32"/>
      <c r="E9" s="32"/>
      <c r="F9" s="32"/>
      <c r="G9" s="33"/>
      <c r="H9" s="32"/>
      <c r="I9" s="32"/>
      <c r="J9" s="32"/>
      <c r="K9" s="32"/>
      <c r="L9" s="32"/>
      <c r="M9" s="32"/>
      <c r="N9" s="32"/>
      <c r="O9" s="32"/>
      <c r="P9" s="32"/>
    </row>
    <row r="10" spans="1:17" ht="22.5" customHeight="1" x14ac:dyDescent="0.35">
      <c r="A10" s="34" t="s">
        <v>1</v>
      </c>
      <c r="B10" s="35" t="s">
        <v>28</v>
      </c>
      <c r="C10" s="36" t="s">
        <v>227</v>
      </c>
      <c r="D10" s="32">
        <v>2</v>
      </c>
      <c r="E10" s="32"/>
      <c r="F10" s="32">
        <v>30</v>
      </c>
      <c r="G10" s="33">
        <v>40000</v>
      </c>
      <c r="H10" s="32">
        <v>40000</v>
      </c>
      <c r="I10" s="32">
        <v>22</v>
      </c>
      <c r="J10" s="32">
        <v>40000</v>
      </c>
      <c r="K10" s="32">
        <v>3</v>
      </c>
      <c r="L10" s="32">
        <v>10000</v>
      </c>
      <c r="M10" s="32">
        <v>300000</v>
      </c>
      <c r="N10" s="32">
        <v>45</v>
      </c>
      <c r="O10" s="32">
        <v>2500</v>
      </c>
      <c r="P10" s="32">
        <v>15000</v>
      </c>
    </row>
    <row r="11" spans="1:17" ht="22.5" customHeight="1" x14ac:dyDescent="0.35">
      <c r="A11" s="34"/>
      <c r="B11" s="38" t="s">
        <v>34</v>
      </c>
      <c r="C11" s="36" t="s">
        <v>228</v>
      </c>
      <c r="D11" s="32"/>
      <c r="E11" s="32"/>
      <c r="F11" s="32"/>
      <c r="G11" s="33"/>
      <c r="H11" s="32"/>
      <c r="I11" s="32"/>
      <c r="J11" s="32"/>
      <c r="K11" s="32"/>
      <c r="L11" s="32"/>
      <c r="M11" s="32"/>
      <c r="N11" s="32"/>
      <c r="O11" s="32"/>
      <c r="P11" s="32"/>
    </row>
    <row r="12" spans="1:17" ht="22.5" customHeight="1" x14ac:dyDescent="0.35">
      <c r="A12" s="34" t="s">
        <v>1</v>
      </c>
      <c r="B12" s="35" t="s">
        <v>30</v>
      </c>
      <c r="C12" s="36" t="s">
        <v>229</v>
      </c>
      <c r="D12" s="32">
        <v>1</v>
      </c>
      <c r="E12" s="32"/>
      <c r="F12" s="32"/>
      <c r="G12" s="33"/>
      <c r="H12" s="32"/>
      <c r="I12" s="32"/>
      <c r="J12" s="32"/>
      <c r="K12" s="32"/>
      <c r="L12" s="32"/>
      <c r="M12" s="32"/>
      <c r="N12" s="32"/>
      <c r="O12" s="32"/>
      <c r="P12" s="32"/>
    </row>
    <row r="13" spans="1:17" ht="22.5" customHeight="1" x14ac:dyDescent="0.35">
      <c r="A13" s="34"/>
      <c r="B13" s="38" t="s">
        <v>36</v>
      </c>
      <c r="C13" s="36" t="s">
        <v>230</v>
      </c>
      <c r="D13" s="32"/>
      <c r="E13" s="32"/>
      <c r="F13" s="32"/>
      <c r="G13" s="33"/>
      <c r="H13" s="32"/>
      <c r="I13" s="32"/>
      <c r="J13" s="32"/>
      <c r="K13" s="32"/>
      <c r="L13" s="32"/>
      <c r="M13" s="32"/>
      <c r="N13" s="32"/>
      <c r="O13" s="32"/>
      <c r="P13" s="32"/>
    </row>
    <row r="14" spans="1:17" ht="22.5" customHeight="1" x14ac:dyDescent="0.35">
      <c r="A14" s="32" t="s">
        <v>1</v>
      </c>
      <c r="B14" s="39" t="s">
        <v>31</v>
      </c>
      <c r="C14" s="36" t="s">
        <v>231</v>
      </c>
      <c r="D14" s="32">
        <v>1</v>
      </c>
      <c r="E14" s="32"/>
      <c r="F14" s="32"/>
      <c r="G14" s="33"/>
      <c r="H14" s="32"/>
      <c r="I14" s="32"/>
      <c r="J14" s="32"/>
      <c r="K14" s="32"/>
      <c r="L14" s="32"/>
      <c r="M14" s="32"/>
      <c r="N14" s="32"/>
      <c r="O14" s="32"/>
      <c r="P14" s="32"/>
    </row>
    <row r="15" spans="1:17" ht="22.5" customHeight="1" x14ac:dyDescent="0.35">
      <c r="A15" s="32"/>
      <c r="B15" s="38" t="s">
        <v>39</v>
      </c>
      <c r="C15" s="36" t="s">
        <v>232</v>
      </c>
      <c r="D15" s="32"/>
      <c r="E15" s="32"/>
      <c r="F15" s="32"/>
      <c r="G15" s="33"/>
      <c r="H15" s="32"/>
      <c r="I15" s="32"/>
      <c r="J15" s="32"/>
      <c r="K15" s="32"/>
      <c r="L15" s="32"/>
      <c r="M15" s="32"/>
      <c r="N15" s="32"/>
      <c r="O15" s="32"/>
      <c r="P15" s="32"/>
    </row>
    <row r="16" spans="1:17" ht="22.5" customHeight="1" x14ac:dyDescent="0.35">
      <c r="A16" s="34" t="s">
        <v>1</v>
      </c>
      <c r="B16" s="35" t="s">
        <v>33</v>
      </c>
      <c r="C16" s="36" t="s">
        <v>233</v>
      </c>
      <c r="D16" s="32">
        <v>2</v>
      </c>
      <c r="E16" s="32"/>
      <c r="F16" s="32"/>
      <c r="G16" s="33"/>
      <c r="H16" s="32"/>
      <c r="I16" s="32"/>
      <c r="J16" s="32"/>
      <c r="K16" s="32">
        <v>1</v>
      </c>
      <c r="L16" s="32"/>
      <c r="M16" s="32">
        <v>300000</v>
      </c>
      <c r="N16" s="32">
        <v>250</v>
      </c>
      <c r="O16" s="32"/>
      <c r="P16" s="32">
        <v>15000</v>
      </c>
    </row>
    <row r="17" spans="1:16" ht="22.5" customHeight="1" x14ac:dyDescent="0.35">
      <c r="A17" s="40" t="s">
        <v>2</v>
      </c>
      <c r="B17" s="41" t="s">
        <v>19</v>
      </c>
      <c r="C17" s="40"/>
      <c r="D17" s="32"/>
      <c r="E17" s="32"/>
      <c r="F17" s="32"/>
      <c r="G17" s="33"/>
      <c r="H17" s="32"/>
      <c r="I17" s="32"/>
      <c r="J17" s="32"/>
      <c r="K17" s="32"/>
      <c r="L17" s="32"/>
      <c r="M17" s="32"/>
      <c r="N17" s="32"/>
      <c r="O17" s="32"/>
      <c r="P17" s="32"/>
    </row>
    <row r="18" spans="1:16" ht="22.5" customHeight="1" x14ac:dyDescent="0.35">
      <c r="A18" s="34"/>
      <c r="B18" s="35" t="s">
        <v>35</v>
      </c>
      <c r="C18" s="36" t="s">
        <v>234</v>
      </c>
      <c r="D18" s="32">
        <v>1</v>
      </c>
      <c r="E18" s="32"/>
      <c r="F18" s="32"/>
      <c r="G18" s="33"/>
      <c r="H18" s="32"/>
      <c r="I18" s="32"/>
      <c r="J18" s="32"/>
      <c r="K18" s="32"/>
      <c r="L18" s="32"/>
      <c r="M18" s="32"/>
      <c r="N18" s="32"/>
      <c r="O18" s="32"/>
      <c r="P18" s="32"/>
    </row>
    <row r="19" spans="1:16" ht="22.5" customHeight="1" x14ac:dyDescent="0.35">
      <c r="A19" s="34"/>
      <c r="B19" s="35" t="s">
        <v>37</v>
      </c>
      <c r="C19" s="36" t="s">
        <v>235</v>
      </c>
      <c r="D19" s="32">
        <v>1</v>
      </c>
      <c r="E19" s="32"/>
      <c r="F19" s="32"/>
      <c r="G19" s="33"/>
      <c r="H19" s="32"/>
      <c r="I19" s="32"/>
      <c r="J19" s="32"/>
      <c r="K19" s="32"/>
      <c r="L19" s="32"/>
      <c r="M19" s="32"/>
      <c r="N19" s="32"/>
      <c r="O19" s="32"/>
      <c r="P19" s="32"/>
    </row>
    <row r="20" spans="1:16" ht="22.5" customHeight="1" x14ac:dyDescent="0.35">
      <c r="A20" s="34"/>
      <c r="B20" s="35" t="s">
        <v>38</v>
      </c>
      <c r="C20" s="36" t="s">
        <v>236</v>
      </c>
      <c r="D20" s="32">
        <v>1</v>
      </c>
      <c r="E20" s="32"/>
      <c r="F20" s="32"/>
      <c r="G20" s="33"/>
      <c r="H20" s="32"/>
      <c r="I20" s="32"/>
      <c r="J20" s="32"/>
      <c r="K20" s="32"/>
      <c r="L20" s="32"/>
      <c r="M20" s="32"/>
      <c r="N20" s="32"/>
      <c r="O20" s="32"/>
      <c r="P20" s="32"/>
    </row>
    <row r="21" spans="1:16" ht="22.5" customHeight="1" x14ac:dyDescent="0.35">
      <c r="A21" s="34"/>
      <c r="B21" s="35" t="s">
        <v>40</v>
      </c>
      <c r="C21" s="36" t="s">
        <v>237</v>
      </c>
      <c r="D21" s="32">
        <v>1</v>
      </c>
      <c r="E21" s="32"/>
      <c r="F21" s="32"/>
      <c r="G21" s="33"/>
      <c r="H21" s="32"/>
      <c r="I21" s="32"/>
      <c r="J21" s="32"/>
      <c r="K21" s="32"/>
      <c r="L21" s="32"/>
      <c r="M21" s="32"/>
      <c r="N21" s="32"/>
      <c r="O21" s="32"/>
      <c r="P21" s="32"/>
    </row>
    <row r="22" spans="1:16" ht="22.5" customHeight="1" x14ac:dyDescent="0.35">
      <c r="A22" s="34"/>
      <c r="B22" s="35" t="s">
        <v>41</v>
      </c>
      <c r="C22" s="36" t="s">
        <v>238</v>
      </c>
      <c r="D22" s="32">
        <v>1</v>
      </c>
      <c r="E22" s="32"/>
      <c r="F22" s="32"/>
      <c r="G22" s="33"/>
      <c r="H22" s="32"/>
      <c r="I22" s="32"/>
      <c r="J22" s="32"/>
      <c r="K22" s="32"/>
      <c r="L22" s="32"/>
      <c r="M22" s="32"/>
      <c r="N22" s="32"/>
      <c r="O22" s="32"/>
      <c r="P22" s="32"/>
    </row>
    <row r="23" spans="1:16" ht="22.5" customHeight="1" x14ac:dyDescent="0.35">
      <c r="A23" s="34"/>
      <c r="B23" s="35" t="s">
        <v>42</v>
      </c>
      <c r="C23" s="36" t="s">
        <v>239</v>
      </c>
      <c r="D23" s="32">
        <v>1</v>
      </c>
      <c r="E23" s="32"/>
      <c r="F23" s="32"/>
      <c r="G23" s="33"/>
      <c r="H23" s="32"/>
      <c r="I23" s="32"/>
      <c r="J23" s="32"/>
      <c r="K23" s="32"/>
      <c r="L23" s="32"/>
      <c r="M23" s="32"/>
      <c r="N23" s="32"/>
      <c r="O23" s="32"/>
      <c r="P23" s="32"/>
    </row>
    <row r="24" spans="1:16" ht="22.5" customHeight="1" x14ac:dyDescent="0.35">
      <c r="A24" s="34"/>
      <c r="B24" s="35" t="s">
        <v>43</v>
      </c>
      <c r="C24" s="36" t="s">
        <v>240</v>
      </c>
      <c r="D24" s="32">
        <v>1</v>
      </c>
      <c r="E24" s="32"/>
      <c r="F24" s="32"/>
      <c r="G24" s="33"/>
      <c r="H24" s="32"/>
      <c r="I24" s="32"/>
      <c r="J24" s="32"/>
      <c r="K24" s="32"/>
      <c r="L24" s="32"/>
      <c r="M24" s="32"/>
      <c r="N24" s="32"/>
      <c r="O24" s="32"/>
      <c r="P24" s="32"/>
    </row>
    <row r="25" spans="1:16" ht="22.5" customHeight="1" x14ac:dyDescent="0.35">
      <c r="A25" s="40" t="s">
        <v>241</v>
      </c>
      <c r="B25" s="41" t="s">
        <v>21</v>
      </c>
      <c r="C25" s="40"/>
      <c r="D25" s="32"/>
      <c r="E25" s="32"/>
      <c r="F25" s="32"/>
      <c r="G25" s="33"/>
      <c r="H25" s="32"/>
      <c r="I25" s="32"/>
      <c r="J25" s="32"/>
      <c r="K25" s="32"/>
      <c r="L25" s="32"/>
      <c r="M25" s="32"/>
      <c r="N25" s="32"/>
      <c r="O25" s="32"/>
      <c r="P25" s="32"/>
    </row>
    <row r="26" spans="1:16" ht="22.5" customHeight="1" x14ac:dyDescent="0.35">
      <c r="A26" s="42" t="s">
        <v>242</v>
      </c>
      <c r="B26" s="43" t="s">
        <v>44</v>
      </c>
      <c r="C26" s="32" t="s">
        <v>243</v>
      </c>
      <c r="D26" s="32"/>
      <c r="E26" s="32"/>
      <c r="F26" s="32"/>
      <c r="G26" s="33"/>
      <c r="H26" s="32"/>
      <c r="I26" s="32"/>
      <c r="J26" s="32"/>
      <c r="K26" s="32"/>
      <c r="L26" s="32"/>
      <c r="M26" s="32"/>
      <c r="N26" s="32"/>
      <c r="O26" s="32"/>
      <c r="P26" s="32"/>
    </row>
    <row r="27" spans="1:16" ht="22.5" customHeight="1" x14ac:dyDescent="0.35">
      <c r="A27" s="44" t="s">
        <v>1</v>
      </c>
      <c r="B27" s="45" t="s">
        <v>45</v>
      </c>
      <c r="C27" s="46"/>
      <c r="D27" s="32"/>
      <c r="E27" s="32"/>
      <c r="F27" s="32"/>
      <c r="G27" s="33"/>
      <c r="H27" s="32"/>
      <c r="I27" s="32"/>
      <c r="J27" s="32"/>
      <c r="K27" s="32"/>
      <c r="L27" s="32"/>
      <c r="M27" s="32"/>
      <c r="N27" s="32"/>
      <c r="O27" s="32"/>
      <c r="P27" s="32"/>
    </row>
    <row r="28" spans="1:16" ht="22.5" customHeight="1" x14ac:dyDescent="0.35">
      <c r="A28" s="47" t="s">
        <v>4</v>
      </c>
      <c r="B28" s="48" t="s">
        <v>52</v>
      </c>
      <c r="C28" s="49"/>
      <c r="D28" s="32">
        <v>1</v>
      </c>
      <c r="E28" s="32"/>
      <c r="F28" s="32"/>
      <c r="G28" s="33"/>
      <c r="H28" s="32"/>
      <c r="I28" s="32"/>
      <c r="J28" s="32"/>
      <c r="K28" s="32"/>
      <c r="L28" s="32"/>
      <c r="M28" s="32"/>
      <c r="N28" s="32"/>
      <c r="O28" s="32"/>
      <c r="P28" s="32"/>
    </row>
    <row r="29" spans="1:16" ht="22.5" customHeight="1" x14ac:dyDescent="0.35">
      <c r="A29" s="280" t="s">
        <v>221</v>
      </c>
      <c r="B29" s="50" t="s">
        <v>244</v>
      </c>
      <c r="C29" s="49" t="s">
        <v>245</v>
      </c>
      <c r="D29" s="32">
        <v>1</v>
      </c>
      <c r="E29" s="32"/>
      <c r="F29" s="32"/>
      <c r="G29" s="33"/>
      <c r="H29" s="32"/>
      <c r="I29" s="32"/>
      <c r="J29" s="32"/>
      <c r="K29" s="32"/>
      <c r="L29" s="32"/>
      <c r="M29" s="32"/>
      <c r="N29" s="32"/>
      <c r="O29" s="32"/>
      <c r="P29" s="32"/>
    </row>
    <row r="30" spans="1:16" ht="22.5" customHeight="1" x14ac:dyDescent="0.35">
      <c r="A30" s="280"/>
      <c r="B30" s="50" t="s">
        <v>246</v>
      </c>
      <c r="C30" s="49" t="s">
        <v>247</v>
      </c>
      <c r="D30" s="32">
        <v>1</v>
      </c>
      <c r="E30" s="32"/>
      <c r="F30" s="32"/>
      <c r="G30" s="33"/>
      <c r="H30" s="32"/>
      <c r="I30" s="32"/>
      <c r="J30" s="32"/>
      <c r="K30" s="32"/>
      <c r="L30" s="32"/>
      <c r="M30" s="32"/>
      <c r="N30" s="32"/>
      <c r="O30" s="32"/>
      <c r="P30" s="32"/>
    </row>
    <row r="31" spans="1:16" ht="22.5" customHeight="1" x14ac:dyDescent="0.35">
      <c r="A31" s="280"/>
      <c r="B31" s="50" t="s">
        <v>248</v>
      </c>
      <c r="C31" s="49" t="s">
        <v>249</v>
      </c>
      <c r="D31" s="32">
        <v>1</v>
      </c>
      <c r="E31" s="32"/>
      <c r="F31" s="32"/>
      <c r="G31" s="33"/>
      <c r="H31" s="32"/>
      <c r="I31" s="32"/>
      <c r="J31" s="32"/>
      <c r="K31" s="32"/>
      <c r="L31" s="32"/>
      <c r="M31" s="32"/>
      <c r="N31" s="32"/>
      <c r="O31" s="32"/>
      <c r="P31" s="32"/>
    </row>
    <row r="32" spans="1:16" ht="22.5" customHeight="1" x14ac:dyDescent="0.35">
      <c r="A32" s="280"/>
      <c r="B32" s="50" t="s">
        <v>250</v>
      </c>
      <c r="C32" s="49" t="s">
        <v>251</v>
      </c>
      <c r="D32" s="32">
        <v>1</v>
      </c>
      <c r="E32" s="32"/>
      <c r="F32" s="32"/>
      <c r="G32" s="33"/>
      <c r="H32" s="32"/>
      <c r="I32" s="32"/>
      <c r="J32" s="32"/>
      <c r="K32" s="32"/>
      <c r="L32" s="32"/>
      <c r="M32" s="32"/>
      <c r="N32" s="32"/>
      <c r="O32" s="32"/>
      <c r="P32" s="32"/>
    </row>
    <row r="33" spans="1:16" ht="22.5" customHeight="1" x14ac:dyDescent="0.35">
      <c r="A33" s="280"/>
      <c r="B33" s="50" t="s">
        <v>252</v>
      </c>
      <c r="C33" s="49" t="s">
        <v>253</v>
      </c>
      <c r="D33" s="32">
        <v>1</v>
      </c>
      <c r="E33" s="32"/>
      <c r="F33" s="32"/>
      <c r="G33" s="33"/>
      <c r="H33" s="32"/>
      <c r="I33" s="32"/>
      <c r="J33" s="32"/>
      <c r="K33" s="32"/>
      <c r="L33" s="32"/>
      <c r="M33" s="32"/>
      <c r="N33" s="32"/>
      <c r="O33" s="32"/>
      <c r="P33" s="32"/>
    </row>
    <row r="34" spans="1:16" ht="22.5" customHeight="1" x14ac:dyDescent="0.35">
      <c r="A34" s="280"/>
      <c r="B34" s="50" t="s">
        <v>254</v>
      </c>
      <c r="C34" s="49" t="s">
        <v>255</v>
      </c>
      <c r="D34" s="32">
        <v>1</v>
      </c>
      <c r="E34" s="32"/>
      <c r="F34" s="32"/>
      <c r="G34" s="33"/>
      <c r="H34" s="32"/>
      <c r="I34" s="32"/>
      <c r="J34" s="32"/>
      <c r="K34" s="32"/>
      <c r="L34" s="32"/>
      <c r="M34" s="32"/>
      <c r="N34" s="32"/>
      <c r="O34" s="32"/>
      <c r="P34" s="32"/>
    </row>
    <row r="35" spans="1:16" ht="22.5" customHeight="1" x14ac:dyDescent="0.35">
      <c r="A35" s="280"/>
      <c r="B35" s="50" t="s">
        <v>256</v>
      </c>
      <c r="C35" s="49" t="s">
        <v>257</v>
      </c>
      <c r="D35" s="32">
        <v>1</v>
      </c>
      <c r="E35" s="32">
        <v>6</v>
      </c>
      <c r="F35" s="32"/>
      <c r="G35" s="33"/>
      <c r="H35" s="32"/>
      <c r="I35" s="32">
        <v>1</v>
      </c>
      <c r="J35" s="32"/>
      <c r="K35" s="32">
        <v>3</v>
      </c>
      <c r="L35" s="32">
        <v>10000</v>
      </c>
      <c r="M35" s="32"/>
      <c r="N35" s="32">
        <v>40</v>
      </c>
      <c r="O35" s="32"/>
      <c r="P35" s="32"/>
    </row>
    <row r="36" spans="1:16" ht="22.5" customHeight="1" x14ac:dyDescent="0.35">
      <c r="A36" s="280"/>
      <c r="B36" s="50" t="s">
        <v>258</v>
      </c>
      <c r="C36" s="49" t="s">
        <v>259</v>
      </c>
      <c r="D36" s="32">
        <v>1</v>
      </c>
      <c r="E36" s="32"/>
      <c r="F36" s="32"/>
      <c r="G36" s="33"/>
      <c r="H36" s="32"/>
      <c r="I36" s="32"/>
      <c r="J36" s="32"/>
      <c r="K36" s="32"/>
      <c r="L36" s="32"/>
      <c r="M36" s="32"/>
      <c r="N36" s="32"/>
      <c r="O36" s="32"/>
      <c r="P36" s="32"/>
    </row>
    <row r="37" spans="1:16" ht="22.5" customHeight="1" x14ac:dyDescent="0.35">
      <c r="A37" s="280"/>
      <c r="B37" s="50" t="s">
        <v>260</v>
      </c>
      <c r="C37" s="49" t="s">
        <v>261</v>
      </c>
      <c r="D37" s="32">
        <v>1</v>
      </c>
      <c r="E37" s="32"/>
      <c r="F37" s="32"/>
      <c r="G37" s="33"/>
      <c r="H37" s="32"/>
      <c r="I37" s="32"/>
      <c r="J37" s="32"/>
      <c r="K37" s="32"/>
      <c r="L37" s="32"/>
      <c r="M37" s="32"/>
      <c r="N37" s="32"/>
      <c r="O37" s="32"/>
      <c r="P37" s="32"/>
    </row>
    <row r="38" spans="1:16" ht="22.5" customHeight="1" x14ac:dyDescent="0.35">
      <c r="A38" s="280"/>
      <c r="B38" s="50" t="s">
        <v>262</v>
      </c>
      <c r="C38" s="49" t="s">
        <v>263</v>
      </c>
      <c r="D38" s="32">
        <v>1</v>
      </c>
      <c r="E38" s="32"/>
      <c r="F38" s="32"/>
      <c r="G38" s="33"/>
      <c r="H38" s="32"/>
      <c r="I38" s="32"/>
      <c r="J38" s="32"/>
      <c r="K38" s="32"/>
      <c r="L38" s="32"/>
      <c r="M38" s="32"/>
      <c r="N38" s="32"/>
      <c r="O38" s="32"/>
      <c r="P38" s="32"/>
    </row>
    <row r="39" spans="1:16" ht="22.5" customHeight="1" x14ac:dyDescent="0.35">
      <c r="A39" s="280"/>
      <c r="B39" s="50" t="s">
        <v>264</v>
      </c>
      <c r="C39" s="49" t="s">
        <v>265</v>
      </c>
      <c r="D39" s="32">
        <v>1</v>
      </c>
      <c r="E39" s="32"/>
      <c r="F39" s="32"/>
      <c r="G39" s="33"/>
      <c r="H39" s="32"/>
      <c r="I39" s="32"/>
      <c r="J39" s="32"/>
      <c r="K39" s="32"/>
      <c r="L39" s="32"/>
      <c r="M39" s="32"/>
      <c r="N39" s="32"/>
      <c r="O39" s="32"/>
      <c r="P39" s="32"/>
    </row>
    <row r="40" spans="1:16" ht="22.5" customHeight="1" x14ac:dyDescent="0.35">
      <c r="A40" s="280"/>
      <c r="B40" s="50" t="s">
        <v>266</v>
      </c>
      <c r="C40" s="49" t="s">
        <v>267</v>
      </c>
      <c r="D40" s="32">
        <v>1</v>
      </c>
      <c r="E40" s="32"/>
      <c r="F40" s="32"/>
      <c r="G40" s="33"/>
      <c r="H40" s="32"/>
      <c r="I40" s="32"/>
      <c r="J40" s="32"/>
      <c r="K40" s="32"/>
      <c r="L40" s="32"/>
      <c r="M40" s="32"/>
      <c r="N40" s="32"/>
      <c r="O40" s="32"/>
      <c r="P40" s="32"/>
    </row>
    <row r="41" spans="1:16" ht="22.5" customHeight="1" x14ac:dyDescent="0.35">
      <c r="A41" s="280"/>
      <c r="B41" s="50" t="s">
        <v>268</v>
      </c>
      <c r="C41" s="49" t="s">
        <v>269</v>
      </c>
      <c r="D41" s="32">
        <v>1</v>
      </c>
      <c r="E41" s="32"/>
      <c r="F41" s="32"/>
      <c r="G41" s="33"/>
      <c r="H41" s="32"/>
      <c r="I41" s="32"/>
      <c r="J41" s="32"/>
      <c r="K41" s="32"/>
      <c r="L41" s="32"/>
      <c r="M41" s="32"/>
      <c r="N41" s="32"/>
      <c r="O41" s="32"/>
      <c r="P41" s="32"/>
    </row>
    <row r="42" spans="1:16" ht="22.5" customHeight="1" x14ac:dyDescent="0.3">
      <c r="A42" s="280"/>
      <c r="B42" s="51" t="s">
        <v>270</v>
      </c>
      <c r="C42" s="49" t="s">
        <v>271</v>
      </c>
      <c r="D42" s="32">
        <v>1</v>
      </c>
      <c r="E42" s="32"/>
      <c r="F42" s="32"/>
      <c r="G42" s="33"/>
      <c r="H42" s="32"/>
      <c r="I42" s="32"/>
      <c r="J42" s="32"/>
      <c r="K42" s="32"/>
      <c r="L42" s="32"/>
      <c r="M42" s="32"/>
      <c r="N42" s="32"/>
      <c r="O42" s="32"/>
      <c r="P42" s="32"/>
    </row>
    <row r="43" spans="1:16" ht="22.5" customHeight="1" x14ac:dyDescent="0.35">
      <c r="A43" s="280"/>
      <c r="B43" s="50" t="s">
        <v>272</v>
      </c>
      <c r="C43" s="49" t="s">
        <v>273</v>
      </c>
      <c r="D43" s="32">
        <v>1</v>
      </c>
      <c r="E43" s="32"/>
      <c r="F43" s="32"/>
      <c r="G43" s="33"/>
      <c r="H43" s="32"/>
      <c r="I43" s="32"/>
      <c r="J43" s="32"/>
      <c r="K43" s="32"/>
      <c r="L43" s="32"/>
      <c r="M43" s="32"/>
      <c r="N43" s="32"/>
      <c r="O43" s="32"/>
      <c r="P43" s="32"/>
    </row>
    <row r="44" spans="1:16" ht="22.5" customHeight="1" x14ac:dyDescent="0.35">
      <c r="A44" s="280"/>
      <c r="B44" s="50" t="s">
        <v>274</v>
      </c>
      <c r="C44" s="49" t="s">
        <v>275</v>
      </c>
      <c r="D44" s="32">
        <v>1</v>
      </c>
      <c r="E44" s="32"/>
      <c r="F44" s="32"/>
      <c r="G44" s="33"/>
      <c r="H44" s="32"/>
      <c r="I44" s="32"/>
      <c r="J44" s="32"/>
      <c r="K44" s="32"/>
      <c r="L44" s="32"/>
      <c r="M44" s="32"/>
      <c r="N44" s="32"/>
      <c r="O44" s="32"/>
      <c r="P44" s="32"/>
    </row>
    <row r="45" spans="1:16" ht="22.5" customHeight="1" x14ac:dyDescent="0.35">
      <c r="A45" s="280"/>
      <c r="B45" s="50" t="s">
        <v>276</v>
      </c>
      <c r="C45" s="49" t="s">
        <v>277</v>
      </c>
      <c r="D45" s="32"/>
      <c r="E45" s="32"/>
      <c r="F45" s="32"/>
      <c r="G45" s="33"/>
      <c r="H45" s="32"/>
      <c r="I45" s="32"/>
      <c r="J45" s="32"/>
      <c r="K45" s="32"/>
      <c r="L45" s="32"/>
      <c r="M45" s="32"/>
      <c r="N45" s="32"/>
      <c r="O45" s="32"/>
      <c r="P45" s="32"/>
    </row>
    <row r="46" spans="1:16" ht="22.5" customHeight="1" x14ac:dyDescent="0.35">
      <c r="A46" s="52"/>
      <c r="B46" s="48" t="s">
        <v>53</v>
      </c>
      <c r="C46" s="49"/>
      <c r="D46" s="32">
        <v>1</v>
      </c>
      <c r="E46" s="32"/>
      <c r="F46" s="32"/>
      <c r="G46" s="33"/>
      <c r="H46" s="32"/>
      <c r="I46" s="32"/>
      <c r="J46" s="32"/>
      <c r="K46" s="32"/>
      <c r="L46" s="32"/>
      <c r="M46" s="32"/>
      <c r="N46" s="32"/>
      <c r="O46" s="32"/>
      <c r="P46" s="32"/>
    </row>
    <row r="47" spans="1:16" ht="22.5" customHeight="1" x14ac:dyDescent="0.35">
      <c r="A47" s="52"/>
      <c r="B47" s="50" t="s">
        <v>278</v>
      </c>
      <c r="C47" s="49" t="s">
        <v>279</v>
      </c>
      <c r="D47" s="32">
        <v>1</v>
      </c>
      <c r="E47" s="32">
        <v>6</v>
      </c>
      <c r="F47" s="32"/>
      <c r="G47" s="33"/>
      <c r="H47" s="32"/>
      <c r="I47" s="32">
        <v>1</v>
      </c>
      <c r="J47" s="32"/>
      <c r="K47" s="32">
        <v>3</v>
      </c>
      <c r="L47" s="32">
        <v>10000</v>
      </c>
      <c r="M47" s="32"/>
      <c r="N47" s="32">
        <v>40</v>
      </c>
      <c r="O47" s="32"/>
      <c r="P47" s="32"/>
    </row>
    <row r="48" spans="1:16" ht="22.5" customHeight="1" x14ac:dyDescent="0.35">
      <c r="A48" s="52"/>
      <c r="B48" s="50" t="s">
        <v>280</v>
      </c>
      <c r="C48" s="49" t="s">
        <v>281</v>
      </c>
      <c r="D48" s="32">
        <v>1</v>
      </c>
      <c r="E48" s="32"/>
      <c r="F48" s="32"/>
      <c r="G48" s="33"/>
      <c r="H48" s="32"/>
      <c r="I48" s="32"/>
      <c r="J48" s="32"/>
      <c r="K48" s="32"/>
      <c r="L48" s="32"/>
      <c r="M48" s="32"/>
      <c r="N48" s="32"/>
      <c r="O48" s="32"/>
      <c r="P48" s="32"/>
    </row>
    <row r="49" spans="1:66" ht="22.5" customHeight="1" x14ac:dyDescent="0.35">
      <c r="A49" s="52"/>
      <c r="B49" s="50" t="s">
        <v>282</v>
      </c>
      <c r="C49" s="49" t="s">
        <v>283</v>
      </c>
      <c r="D49" s="32">
        <v>1</v>
      </c>
      <c r="E49" s="32"/>
      <c r="F49" s="32"/>
      <c r="G49" s="33"/>
      <c r="H49" s="32"/>
      <c r="I49" s="32"/>
      <c r="J49" s="32"/>
      <c r="K49" s="32"/>
      <c r="L49" s="32"/>
      <c r="M49" s="32"/>
      <c r="N49" s="32"/>
      <c r="O49" s="32"/>
      <c r="P49" s="32"/>
    </row>
    <row r="50" spans="1:66" ht="22.5" customHeight="1" x14ac:dyDescent="0.35">
      <c r="A50" s="52"/>
      <c r="B50" s="50" t="s">
        <v>284</v>
      </c>
      <c r="C50" s="49" t="s">
        <v>285</v>
      </c>
      <c r="D50" s="32">
        <v>1</v>
      </c>
      <c r="E50" s="32"/>
      <c r="F50" s="32"/>
      <c r="G50" s="33"/>
      <c r="H50" s="32"/>
      <c r="I50" s="32"/>
      <c r="J50" s="32"/>
      <c r="K50" s="32"/>
      <c r="L50" s="32"/>
      <c r="M50" s="32"/>
      <c r="N50" s="32"/>
      <c r="O50" s="32"/>
      <c r="P50" s="32"/>
    </row>
    <row r="51" spans="1:66" ht="22.5" customHeight="1" x14ac:dyDescent="0.35">
      <c r="A51" s="52"/>
      <c r="B51" s="50" t="s">
        <v>286</v>
      </c>
      <c r="C51" s="49" t="s">
        <v>287</v>
      </c>
      <c r="D51" s="32">
        <v>1</v>
      </c>
      <c r="E51" s="32"/>
      <c r="F51" s="32"/>
      <c r="G51" s="33"/>
      <c r="H51" s="32"/>
      <c r="I51" s="32"/>
      <c r="J51" s="32"/>
      <c r="K51" s="32"/>
      <c r="L51" s="32"/>
      <c r="M51" s="32"/>
      <c r="N51" s="32"/>
      <c r="O51" s="32"/>
      <c r="P51" s="32"/>
    </row>
    <row r="52" spans="1:66" ht="22.5" customHeight="1" x14ac:dyDescent="0.35">
      <c r="A52" s="52"/>
      <c r="B52" s="50" t="s">
        <v>288</v>
      </c>
      <c r="C52" s="49" t="s">
        <v>289</v>
      </c>
      <c r="D52" s="32">
        <v>1</v>
      </c>
      <c r="E52" s="32"/>
      <c r="F52" s="32"/>
      <c r="G52" s="33"/>
      <c r="H52" s="32"/>
      <c r="I52" s="32"/>
      <c r="J52" s="32"/>
      <c r="K52" s="32"/>
      <c r="L52" s="32"/>
      <c r="M52" s="32"/>
      <c r="N52" s="32"/>
      <c r="O52" s="32"/>
      <c r="P52" s="32"/>
    </row>
    <row r="53" spans="1:66" s="19" customFormat="1" ht="22.5" customHeight="1" x14ac:dyDescent="0.35">
      <c r="A53" s="52"/>
      <c r="B53" s="50" t="s">
        <v>290</v>
      </c>
      <c r="C53" s="49" t="s">
        <v>291</v>
      </c>
      <c r="D53" s="32">
        <v>1</v>
      </c>
      <c r="E53" s="32"/>
      <c r="F53" s="32"/>
      <c r="G53" s="53"/>
      <c r="H53" s="32"/>
      <c r="I53" s="32"/>
      <c r="J53" s="32"/>
      <c r="K53" s="32">
        <v>80</v>
      </c>
      <c r="L53" s="32">
        <v>4000</v>
      </c>
      <c r="M53" s="32"/>
      <c r="N53" s="32">
        <v>5</v>
      </c>
      <c r="O53" s="32"/>
      <c r="P53" s="32"/>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row>
    <row r="54" spans="1:66" s="19" customFormat="1" ht="22.5" customHeight="1" x14ac:dyDescent="0.35">
      <c r="A54" s="52"/>
      <c r="B54" s="50" t="s">
        <v>292</v>
      </c>
      <c r="C54" s="49" t="s">
        <v>293</v>
      </c>
      <c r="D54" s="32"/>
      <c r="E54" s="32"/>
      <c r="F54" s="32"/>
      <c r="G54" s="53"/>
      <c r="H54" s="32"/>
      <c r="I54" s="32"/>
      <c r="J54" s="32"/>
      <c r="K54" s="32"/>
      <c r="L54" s="32"/>
      <c r="M54" s="32"/>
      <c r="N54" s="32"/>
      <c r="O54" s="32"/>
      <c r="P54" s="32"/>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row>
    <row r="55" spans="1:66" ht="22.5" customHeight="1" x14ac:dyDescent="0.35">
      <c r="A55" s="52"/>
      <c r="B55" s="48" t="s">
        <v>55</v>
      </c>
      <c r="D55" s="32">
        <v>1</v>
      </c>
      <c r="E55" s="32"/>
      <c r="F55" s="32"/>
      <c r="G55" s="33"/>
      <c r="H55" s="32"/>
      <c r="I55" s="32"/>
      <c r="J55" s="32"/>
      <c r="K55" s="32"/>
      <c r="L55" s="32"/>
      <c r="M55" s="32"/>
      <c r="N55" s="32"/>
      <c r="O55" s="32"/>
      <c r="P55" s="32"/>
    </row>
    <row r="56" spans="1:66" ht="22.5" customHeight="1" x14ac:dyDescent="0.35">
      <c r="A56" s="52"/>
      <c r="B56" s="50" t="s">
        <v>294</v>
      </c>
      <c r="C56" s="49" t="s">
        <v>295</v>
      </c>
      <c r="D56" s="32">
        <v>1</v>
      </c>
      <c r="E56" s="32"/>
      <c r="F56" s="32"/>
      <c r="G56" s="33"/>
      <c r="H56" s="32"/>
      <c r="I56" s="32"/>
      <c r="J56" s="32"/>
      <c r="K56" s="32">
        <v>80</v>
      </c>
      <c r="L56" s="32">
        <v>4000</v>
      </c>
      <c r="M56" s="32"/>
      <c r="N56" s="32">
        <v>5</v>
      </c>
      <c r="O56" s="32"/>
      <c r="P56" s="32"/>
    </row>
    <row r="57" spans="1:66" ht="22.5" customHeight="1" x14ac:dyDescent="0.35">
      <c r="A57" s="52"/>
      <c r="B57" s="50" t="s">
        <v>296</v>
      </c>
      <c r="C57" s="49" t="s">
        <v>297</v>
      </c>
      <c r="D57" s="32">
        <v>1</v>
      </c>
      <c r="E57" s="32"/>
      <c r="F57" s="32"/>
      <c r="G57" s="33"/>
      <c r="H57" s="32"/>
      <c r="I57" s="32"/>
      <c r="J57" s="32"/>
      <c r="K57" s="32"/>
      <c r="L57" s="32"/>
      <c r="M57" s="32"/>
      <c r="N57" s="32"/>
      <c r="O57" s="32"/>
      <c r="P57" s="32"/>
    </row>
    <row r="58" spans="1:66" ht="22.5" customHeight="1" x14ac:dyDescent="0.35">
      <c r="A58" s="52"/>
      <c r="B58" s="50" t="s">
        <v>298</v>
      </c>
      <c r="C58" s="49" t="s">
        <v>299</v>
      </c>
      <c r="D58" s="32"/>
      <c r="E58" s="32"/>
      <c r="F58" s="32"/>
      <c r="G58" s="33"/>
      <c r="H58" s="32"/>
      <c r="I58" s="32"/>
      <c r="J58" s="32"/>
      <c r="K58" s="32"/>
      <c r="L58" s="32"/>
      <c r="M58" s="32"/>
      <c r="N58" s="32"/>
      <c r="O58" s="32"/>
      <c r="P58" s="32"/>
    </row>
    <row r="59" spans="1:66" ht="22.5" customHeight="1" x14ac:dyDescent="0.35">
      <c r="A59" s="55" t="s">
        <v>1</v>
      </c>
      <c r="B59" s="45" t="s">
        <v>46</v>
      </c>
      <c r="C59" s="46"/>
      <c r="D59" s="32"/>
      <c r="E59" s="32"/>
      <c r="F59" s="32"/>
      <c r="G59" s="53"/>
      <c r="H59" s="32"/>
      <c r="I59" s="32"/>
      <c r="J59" s="32"/>
      <c r="K59" s="32"/>
      <c r="L59" s="32"/>
      <c r="M59" s="32"/>
      <c r="N59" s="32"/>
      <c r="O59" s="32"/>
      <c r="P59" s="32"/>
    </row>
    <row r="60" spans="1:66" ht="22.5" customHeight="1" x14ac:dyDescent="0.35">
      <c r="A60" s="47" t="s">
        <v>4</v>
      </c>
      <c r="B60" s="48" t="s">
        <v>58</v>
      </c>
      <c r="D60" s="32">
        <v>1</v>
      </c>
      <c r="E60" s="32">
        <v>4</v>
      </c>
      <c r="F60" s="32">
        <v>10</v>
      </c>
      <c r="G60" s="53"/>
      <c r="H60" s="32">
        <v>40000</v>
      </c>
      <c r="I60" s="32">
        <v>6</v>
      </c>
      <c r="J60" s="32">
        <v>40000</v>
      </c>
      <c r="K60" s="32">
        <v>2</v>
      </c>
      <c r="L60" s="32">
        <v>10000</v>
      </c>
      <c r="M60" s="32">
        <f>300000*K60</f>
        <v>600000</v>
      </c>
      <c r="N60" s="32">
        <v>30</v>
      </c>
      <c r="O60" s="32">
        <v>2500</v>
      </c>
      <c r="P60" s="32">
        <v>15000</v>
      </c>
    </row>
    <row r="61" spans="1:66" ht="22.5" customHeight="1" x14ac:dyDescent="0.35">
      <c r="A61" s="52"/>
      <c r="B61" s="50" t="s">
        <v>300</v>
      </c>
      <c r="C61" s="49" t="s">
        <v>301</v>
      </c>
      <c r="D61" s="32">
        <v>1</v>
      </c>
      <c r="E61" s="32">
        <v>96</v>
      </c>
      <c r="F61" s="32">
        <f t="shared" ref="F61:F63" si="0">10*96</f>
        <v>960</v>
      </c>
      <c r="G61" s="53">
        <v>2000</v>
      </c>
      <c r="H61" s="32">
        <v>5000</v>
      </c>
      <c r="I61" s="32"/>
      <c r="J61" s="32"/>
      <c r="K61" s="32">
        <v>1</v>
      </c>
      <c r="L61" s="32"/>
      <c r="M61" s="32">
        <v>0</v>
      </c>
      <c r="N61" s="32">
        <v>960</v>
      </c>
      <c r="O61" s="32"/>
      <c r="P61" s="32">
        <v>2000</v>
      </c>
    </row>
    <row r="62" spans="1:66" s="20" customFormat="1" ht="22.5" customHeight="1" x14ac:dyDescent="0.35">
      <c r="A62" s="52"/>
      <c r="B62" s="50" t="s">
        <v>302</v>
      </c>
      <c r="C62" s="49" t="s">
        <v>303</v>
      </c>
      <c r="D62" s="32">
        <v>1</v>
      </c>
      <c r="E62" s="32"/>
      <c r="F62" s="32"/>
      <c r="G62" s="53"/>
      <c r="H62" s="32"/>
      <c r="I62" s="32"/>
      <c r="J62" s="32"/>
      <c r="K62" s="32"/>
      <c r="L62" s="32"/>
      <c r="M62" s="32"/>
      <c r="N62" s="32"/>
      <c r="O62" s="32"/>
      <c r="P62" s="32"/>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row>
    <row r="63" spans="1:66" ht="22.5" customHeight="1" x14ac:dyDescent="0.35">
      <c r="A63" s="52"/>
      <c r="B63" s="50" t="s">
        <v>304</v>
      </c>
      <c r="C63" s="49" t="s">
        <v>305</v>
      </c>
      <c r="D63" s="32">
        <v>12</v>
      </c>
      <c r="E63" s="32">
        <v>96</v>
      </c>
      <c r="F63" s="32">
        <f t="shared" si="0"/>
        <v>960</v>
      </c>
      <c r="G63" s="53">
        <v>2000</v>
      </c>
      <c r="H63" s="32">
        <v>5000</v>
      </c>
      <c r="I63" s="32"/>
      <c r="J63" s="32"/>
      <c r="K63" s="32"/>
      <c r="L63" s="32"/>
      <c r="M63" s="32"/>
      <c r="N63" s="32"/>
      <c r="O63" s="32"/>
      <c r="P63" s="32"/>
    </row>
    <row r="64" spans="1:66" ht="22.5" customHeight="1" x14ac:dyDescent="0.35">
      <c r="A64" s="52"/>
      <c r="B64" s="50" t="s">
        <v>306</v>
      </c>
      <c r="C64" s="49" t="s">
        <v>307</v>
      </c>
      <c r="D64" s="32">
        <v>12</v>
      </c>
      <c r="E64" s="32">
        <v>0</v>
      </c>
      <c r="F64" s="32">
        <v>0</v>
      </c>
      <c r="G64" s="53">
        <v>0</v>
      </c>
      <c r="H64" s="32">
        <v>0</v>
      </c>
      <c r="I64" s="32">
        <v>0</v>
      </c>
      <c r="J64" s="32">
        <v>0</v>
      </c>
      <c r="K64" s="32">
        <v>1</v>
      </c>
      <c r="L64" s="32">
        <v>80000</v>
      </c>
      <c r="M64" s="32"/>
      <c r="N64" s="32">
        <v>20</v>
      </c>
      <c r="O64" s="32"/>
      <c r="P64" s="32"/>
    </row>
    <row r="65" spans="1:66" ht="22.5" customHeight="1" x14ac:dyDescent="0.35">
      <c r="A65" s="52"/>
      <c r="B65" s="50" t="s">
        <v>308</v>
      </c>
      <c r="C65" s="49" t="s">
        <v>309</v>
      </c>
      <c r="D65" s="32">
        <v>1</v>
      </c>
      <c r="E65" s="32"/>
      <c r="F65" s="32"/>
      <c r="G65" s="53"/>
      <c r="H65" s="32"/>
      <c r="I65" s="32"/>
      <c r="J65" s="32"/>
      <c r="K65" s="32"/>
      <c r="L65" s="32"/>
      <c r="M65" s="32"/>
      <c r="N65" s="32"/>
      <c r="O65" s="32"/>
      <c r="P65" s="32"/>
    </row>
    <row r="66" spans="1:66" s="19" customFormat="1" ht="22.5" customHeight="1" x14ac:dyDescent="0.35">
      <c r="A66" s="52"/>
      <c r="B66" s="50" t="s">
        <v>310</v>
      </c>
      <c r="C66" s="49" t="s">
        <v>311</v>
      </c>
      <c r="D66" s="32">
        <v>12</v>
      </c>
      <c r="E66" s="32">
        <v>47</v>
      </c>
      <c r="F66" s="32">
        <v>0</v>
      </c>
      <c r="G66" s="53">
        <v>0</v>
      </c>
      <c r="H66" s="32">
        <v>5000</v>
      </c>
      <c r="I66" s="32"/>
      <c r="J66" s="32"/>
      <c r="K66" s="32"/>
      <c r="L66" s="32">
        <v>2000</v>
      </c>
      <c r="M66" s="32"/>
      <c r="N66" s="32">
        <v>100</v>
      </c>
      <c r="O66" s="32"/>
      <c r="P66" s="32"/>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row>
    <row r="67" spans="1:66" s="19" customFormat="1" ht="22.5" customHeight="1" x14ac:dyDescent="0.35">
      <c r="A67" s="52"/>
      <c r="B67" s="50" t="s">
        <v>312</v>
      </c>
      <c r="C67" s="49" t="s">
        <v>313</v>
      </c>
      <c r="D67" s="32">
        <v>1</v>
      </c>
      <c r="E67" s="32"/>
      <c r="F67" s="32"/>
      <c r="G67" s="53"/>
      <c r="H67" s="32"/>
      <c r="I67" s="32"/>
      <c r="J67" s="32"/>
      <c r="K67" s="32"/>
      <c r="L67" s="32"/>
      <c r="M67" s="32"/>
      <c r="N67" s="32"/>
      <c r="O67" s="32"/>
      <c r="P67" s="32"/>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row>
    <row r="68" spans="1:66" s="19" customFormat="1" ht="22.5" customHeight="1" x14ac:dyDescent="0.35">
      <c r="A68" s="52"/>
      <c r="B68" s="50" t="s">
        <v>314</v>
      </c>
      <c r="C68" s="49" t="s">
        <v>315</v>
      </c>
      <c r="D68" s="32">
        <v>1</v>
      </c>
      <c r="E68" s="32"/>
      <c r="F68" s="32"/>
      <c r="G68" s="53"/>
      <c r="H68" s="32"/>
      <c r="I68" s="32"/>
      <c r="J68" s="32"/>
      <c r="K68" s="32"/>
      <c r="L68" s="32"/>
      <c r="M68" s="32"/>
      <c r="N68" s="32"/>
      <c r="O68" s="32"/>
      <c r="P68" s="32"/>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row>
    <row r="69" spans="1:66" s="19" customFormat="1" ht="22.5" customHeight="1" x14ac:dyDescent="0.35">
      <c r="A69" s="52"/>
      <c r="B69" s="50" t="s">
        <v>316</v>
      </c>
      <c r="C69" s="49" t="s">
        <v>317</v>
      </c>
      <c r="D69" s="32">
        <v>1</v>
      </c>
      <c r="E69" s="32"/>
      <c r="F69" s="32"/>
      <c r="G69" s="53"/>
      <c r="H69" s="32"/>
      <c r="I69" s="32"/>
      <c r="J69" s="32"/>
      <c r="K69" s="32"/>
      <c r="L69" s="32"/>
      <c r="M69" s="32"/>
      <c r="N69" s="32"/>
      <c r="O69" s="32"/>
      <c r="P69" s="32"/>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row>
    <row r="70" spans="1:66" s="19" customFormat="1" ht="22.5" customHeight="1" x14ac:dyDescent="0.35">
      <c r="A70" s="52"/>
      <c r="B70" s="50" t="s">
        <v>318</v>
      </c>
      <c r="C70" s="49" t="s">
        <v>319</v>
      </c>
      <c r="D70" s="32">
        <v>1</v>
      </c>
      <c r="E70" s="32"/>
      <c r="F70" s="32"/>
      <c r="G70" s="53"/>
      <c r="H70" s="32"/>
      <c r="I70" s="32"/>
      <c r="J70" s="32"/>
      <c r="K70" s="32"/>
      <c r="L70" s="32"/>
      <c r="M70" s="32"/>
      <c r="N70" s="32"/>
      <c r="O70" s="32"/>
      <c r="P70" s="32"/>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row>
    <row r="71" spans="1:66" s="19" customFormat="1" ht="22.5" customHeight="1" x14ac:dyDescent="0.35">
      <c r="A71" s="52"/>
      <c r="B71" s="50" t="s">
        <v>320</v>
      </c>
      <c r="C71" s="49" t="s">
        <v>321</v>
      </c>
      <c r="D71" s="32">
        <v>1</v>
      </c>
      <c r="E71" s="32"/>
      <c r="F71" s="32"/>
      <c r="G71" s="53"/>
      <c r="H71" s="32"/>
      <c r="I71" s="32"/>
      <c r="J71" s="32"/>
      <c r="K71" s="32"/>
      <c r="L71" s="32"/>
      <c r="M71" s="32"/>
      <c r="N71" s="32"/>
      <c r="O71" s="32"/>
      <c r="P71" s="32"/>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row>
    <row r="72" spans="1:66" s="19" customFormat="1" ht="22.5" customHeight="1" x14ac:dyDescent="0.35">
      <c r="A72" s="52"/>
      <c r="B72" s="50" t="s">
        <v>264</v>
      </c>
      <c r="C72" s="49" t="s">
        <v>322</v>
      </c>
      <c r="D72" s="32">
        <v>1</v>
      </c>
      <c r="E72" s="32"/>
      <c r="F72" s="32"/>
      <c r="G72" s="53"/>
      <c r="H72" s="32"/>
      <c r="I72" s="32"/>
      <c r="J72" s="32"/>
      <c r="K72" s="32"/>
      <c r="L72" s="32"/>
      <c r="M72" s="32"/>
      <c r="N72" s="32"/>
      <c r="O72" s="32"/>
      <c r="P72" s="32"/>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row>
    <row r="73" spans="1:66" s="19" customFormat="1" ht="22.5" customHeight="1" x14ac:dyDescent="0.35">
      <c r="A73" s="52"/>
      <c r="B73" s="50" t="s">
        <v>266</v>
      </c>
      <c r="C73" s="49" t="s">
        <v>323</v>
      </c>
      <c r="D73" s="32">
        <v>1</v>
      </c>
      <c r="E73" s="32"/>
      <c r="F73" s="32"/>
      <c r="G73" s="53"/>
      <c r="H73" s="32"/>
      <c r="I73" s="32"/>
      <c r="J73" s="32"/>
      <c r="K73" s="32"/>
      <c r="L73" s="32"/>
      <c r="M73" s="32"/>
      <c r="N73" s="32"/>
      <c r="O73" s="32"/>
      <c r="P73" s="32"/>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row>
    <row r="74" spans="1:66" s="19" customFormat="1" ht="22.5" customHeight="1" x14ac:dyDescent="0.35">
      <c r="A74" s="52"/>
      <c r="B74" s="50" t="s">
        <v>324</v>
      </c>
      <c r="C74" s="49" t="s">
        <v>325</v>
      </c>
      <c r="D74" s="32">
        <v>12</v>
      </c>
      <c r="E74" s="32">
        <v>47</v>
      </c>
      <c r="F74" s="32">
        <v>1</v>
      </c>
      <c r="G74" s="53">
        <v>1</v>
      </c>
      <c r="H74" s="32">
        <v>1</v>
      </c>
      <c r="I74" s="32">
        <v>1</v>
      </c>
      <c r="J74" s="32">
        <v>1</v>
      </c>
      <c r="K74" s="32">
        <v>1</v>
      </c>
      <c r="L74" s="32">
        <v>2000</v>
      </c>
      <c r="M74" s="32">
        <v>1</v>
      </c>
      <c r="N74" s="32">
        <v>1</v>
      </c>
      <c r="O74" s="32">
        <v>1</v>
      </c>
      <c r="P74" s="32">
        <v>1</v>
      </c>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row>
    <row r="75" spans="1:66" ht="22.5" customHeight="1" x14ac:dyDescent="0.35">
      <c r="A75" s="52"/>
      <c r="B75" s="50" t="s">
        <v>326</v>
      </c>
      <c r="C75" s="49" t="s">
        <v>327</v>
      </c>
      <c r="D75" s="32">
        <v>1</v>
      </c>
      <c r="E75" s="32"/>
      <c r="F75" s="32"/>
      <c r="G75" s="53"/>
      <c r="H75" s="32"/>
      <c r="I75" s="32"/>
      <c r="J75" s="32"/>
      <c r="K75" s="32"/>
      <c r="L75" s="32"/>
      <c r="M75" s="32"/>
      <c r="N75" s="32"/>
      <c r="O75" s="32"/>
      <c r="P75" s="32"/>
    </row>
    <row r="76" spans="1:66" ht="22.5" customHeight="1" x14ac:dyDescent="0.35">
      <c r="A76" s="52"/>
      <c r="B76" s="50" t="s">
        <v>328</v>
      </c>
      <c r="C76" s="49" t="s">
        <v>329</v>
      </c>
      <c r="D76" s="32">
        <v>12</v>
      </c>
      <c r="E76" s="32">
        <v>1</v>
      </c>
      <c r="F76" s="32">
        <v>1</v>
      </c>
      <c r="G76" s="53">
        <v>1</v>
      </c>
      <c r="H76" s="32">
        <v>1</v>
      </c>
      <c r="I76" s="32">
        <v>1</v>
      </c>
      <c r="J76" s="32">
        <v>1</v>
      </c>
      <c r="K76" s="32">
        <v>1</v>
      </c>
      <c r="L76" s="32">
        <v>2000</v>
      </c>
      <c r="M76" s="32">
        <v>1</v>
      </c>
      <c r="N76" s="32">
        <v>100</v>
      </c>
      <c r="O76" s="32">
        <v>1</v>
      </c>
      <c r="P76" s="32">
        <v>1</v>
      </c>
    </row>
    <row r="77" spans="1:66" s="19" customFormat="1" ht="22.5" customHeight="1" x14ac:dyDescent="0.35">
      <c r="A77" s="52"/>
      <c r="B77" s="50" t="s">
        <v>330</v>
      </c>
      <c r="C77" s="49" t="s">
        <v>331</v>
      </c>
      <c r="D77" s="32">
        <v>12</v>
      </c>
      <c r="E77" s="32">
        <v>1</v>
      </c>
      <c r="F77" s="32">
        <v>1</v>
      </c>
      <c r="G77" s="53">
        <v>1</v>
      </c>
      <c r="H77" s="32">
        <v>1</v>
      </c>
      <c r="I77" s="32">
        <v>1</v>
      </c>
      <c r="J77" s="32">
        <v>1</v>
      </c>
      <c r="K77" s="32">
        <v>1</v>
      </c>
      <c r="L77" s="32">
        <v>80000</v>
      </c>
      <c r="M77" s="32">
        <v>1</v>
      </c>
      <c r="N77" s="32">
        <v>15</v>
      </c>
      <c r="O77" s="32">
        <v>1</v>
      </c>
      <c r="P77" s="32">
        <v>1</v>
      </c>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row>
    <row r="78" spans="1:66" s="19" customFormat="1" ht="22.5" customHeight="1" x14ac:dyDescent="0.35">
      <c r="A78" s="52"/>
      <c r="B78" s="50" t="s">
        <v>332</v>
      </c>
      <c r="C78" s="49" t="s">
        <v>333</v>
      </c>
      <c r="D78" s="32"/>
      <c r="E78" s="32"/>
      <c r="F78" s="32"/>
      <c r="G78" s="53"/>
      <c r="H78" s="32"/>
      <c r="I78" s="32"/>
      <c r="J78" s="32"/>
      <c r="K78" s="32"/>
      <c r="L78" s="32"/>
      <c r="M78" s="32"/>
      <c r="N78" s="32"/>
      <c r="O78" s="32"/>
      <c r="P78" s="32"/>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row>
    <row r="79" spans="1:66" ht="22.5" customHeight="1" x14ac:dyDescent="0.35">
      <c r="A79" s="52"/>
      <c r="B79" s="48" t="s">
        <v>60</v>
      </c>
      <c r="D79" s="32">
        <v>1</v>
      </c>
      <c r="E79" s="32"/>
      <c r="F79" s="32"/>
      <c r="G79" s="53"/>
      <c r="H79" s="32"/>
      <c r="I79" s="32"/>
      <c r="J79" s="32"/>
      <c r="K79" s="32"/>
      <c r="L79" s="32"/>
      <c r="M79" s="32"/>
      <c r="N79" s="32"/>
      <c r="O79" s="32"/>
      <c r="P79" s="32"/>
    </row>
    <row r="80" spans="1:66" ht="22.5" customHeight="1" x14ac:dyDescent="0.35">
      <c r="A80" s="52"/>
      <c r="B80" s="50" t="s">
        <v>334</v>
      </c>
      <c r="C80" s="49" t="s">
        <v>335</v>
      </c>
      <c r="D80" s="32">
        <v>1</v>
      </c>
      <c r="E80" s="32"/>
      <c r="F80" s="32"/>
      <c r="G80" s="53"/>
      <c r="H80" s="32"/>
      <c r="I80" s="32"/>
      <c r="J80" s="32"/>
      <c r="K80" s="32"/>
      <c r="L80" s="32"/>
      <c r="M80" s="32"/>
      <c r="N80" s="32"/>
      <c r="O80" s="32"/>
      <c r="P80" s="32"/>
    </row>
    <row r="81" spans="1:16" ht="22.5" customHeight="1" x14ac:dyDescent="0.35">
      <c r="A81" s="52"/>
      <c r="B81" s="50" t="s">
        <v>336</v>
      </c>
      <c r="C81" s="49" t="s">
        <v>337</v>
      </c>
      <c r="D81" s="32">
        <v>1</v>
      </c>
      <c r="E81" s="32"/>
      <c r="F81" s="32"/>
      <c r="G81" s="53"/>
      <c r="H81" s="32"/>
      <c r="I81" s="32"/>
      <c r="J81" s="32"/>
      <c r="K81" s="32"/>
      <c r="L81" s="32"/>
      <c r="M81" s="32"/>
      <c r="N81" s="32"/>
      <c r="O81" s="32"/>
      <c r="P81" s="32"/>
    </row>
    <row r="82" spans="1:16" ht="22.5" customHeight="1" x14ac:dyDescent="0.35">
      <c r="A82" s="52"/>
      <c r="B82" s="50" t="s">
        <v>338</v>
      </c>
      <c r="C82" s="49" t="s">
        <v>339</v>
      </c>
      <c r="D82" s="32"/>
      <c r="E82" s="32"/>
      <c r="F82" s="32"/>
      <c r="G82" s="53"/>
      <c r="H82" s="32"/>
      <c r="I82" s="32"/>
      <c r="J82" s="32"/>
      <c r="K82" s="32"/>
      <c r="L82" s="32"/>
      <c r="M82" s="32"/>
      <c r="N82" s="32"/>
      <c r="O82" s="32"/>
      <c r="P82" s="32"/>
    </row>
    <row r="83" spans="1:16" ht="22.5" customHeight="1" x14ac:dyDescent="0.35">
      <c r="A83" s="52"/>
      <c r="B83" s="50" t="s">
        <v>340</v>
      </c>
      <c r="C83" s="49" t="s">
        <v>341</v>
      </c>
      <c r="D83" s="56">
        <v>4</v>
      </c>
      <c r="E83" s="32">
        <v>1</v>
      </c>
      <c r="F83" s="32">
        <v>1</v>
      </c>
      <c r="G83" s="53">
        <v>1</v>
      </c>
      <c r="H83" s="32">
        <v>1</v>
      </c>
      <c r="I83" s="32">
        <v>1</v>
      </c>
      <c r="J83" s="32">
        <v>1</v>
      </c>
      <c r="K83" s="32">
        <v>1</v>
      </c>
      <c r="L83" s="32">
        <v>25000</v>
      </c>
      <c r="M83" s="32">
        <v>1</v>
      </c>
      <c r="N83" s="32">
        <v>5</v>
      </c>
      <c r="O83" s="32">
        <v>1</v>
      </c>
      <c r="P83" s="32">
        <v>1</v>
      </c>
    </row>
    <row r="84" spans="1:16" ht="22.5" customHeight="1" x14ac:dyDescent="0.35">
      <c r="A84" s="52"/>
      <c r="B84" s="50" t="s">
        <v>342</v>
      </c>
      <c r="C84" s="49" t="s">
        <v>343</v>
      </c>
      <c r="D84" s="32">
        <v>1</v>
      </c>
      <c r="E84" s="32"/>
      <c r="F84" s="32"/>
      <c r="G84" s="53"/>
      <c r="H84" s="32"/>
      <c r="I84" s="32"/>
      <c r="J84" s="32"/>
      <c r="K84" s="32">
        <v>80</v>
      </c>
      <c r="L84" s="32">
        <v>4000</v>
      </c>
      <c r="M84" s="32"/>
      <c r="N84" s="32">
        <v>5</v>
      </c>
      <c r="O84" s="32"/>
      <c r="P84" s="32"/>
    </row>
    <row r="85" spans="1:16" ht="22.5" customHeight="1" x14ac:dyDescent="0.35">
      <c r="A85" s="52"/>
      <c r="B85" s="50" t="s">
        <v>344</v>
      </c>
      <c r="C85" s="49" t="s">
        <v>345</v>
      </c>
      <c r="D85" s="32"/>
      <c r="E85" s="32"/>
      <c r="F85" s="32"/>
      <c r="G85" s="53"/>
      <c r="H85" s="32"/>
      <c r="I85" s="32"/>
      <c r="J85" s="32"/>
      <c r="K85" s="32"/>
      <c r="L85" s="32"/>
      <c r="M85" s="32"/>
      <c r="N85" s="32"/>
      <c r="O85" s="32"/>
      <c r="P85" s="32"/>
    </row>
    <row r="86" spans="1:16" ht="22.5" customHeight="1" x14ac:dyDescent="0.35">
      <c r="A86" s="52"/>
      <c r="B86" s="48" t="s">
        <v>62</v>
      </c>
      <c r="D86" s="32">
        <v>1</v>
      </c>
      <c r="E86" s="32"/>
      <c r="F86" s="32"/>
      <c r="G86" s="53"/>
      <c r="H86" s="32"/>
      <c r="I86" s="32"/>
      <c r="J86" s="32"/>
      <c r="K86" s="32"/>
      <c r="L86" s="32"/>
      <c r="M86" s="32"/>
      <c r="N86" s="32"/>
      <c r="O86" s="32"/>
      <c r="P86" s="32"/>
    </row>
    <row r="87" spans="1:16" ht="22.5" customHeight="1" x14ac:dyDescent="0.35">
      <c r="A87" s="52"/>
      <c r="B87" s="50" t="s">
        <v>346</v>
      </c>
      <c r="C87" s="49" t="s">
        <v>347</v>
      </c>
      <c r="D87" s="32">
        <v>1</v>
      </c>
      <c r="E87" s="32"/>
      <c r="F87" s="32"/>
      <c r="G87" s="53"/>
      <c r="H87" s="32"/>
      <c r="I87" s="32"/>
      <c r="J87" s="32"/>
      <c r="K87" s="32"/>
      <c r="L87" s="32"/>
      <c r="M87" s="32"/>
      <c r="N87" s="32"/>
      <c r="O87" s="32"/>
      <c r="P87" s="32"/>
    </row>
    <row r="88" spans="1:16" ht="22.5" customHeight="1" x14ac:dyDescent="0.35">
      <c r="A88" s="52"/>
      <c r="B88" s="50" t="s">
        <v>348</v>
      </c>
      <c r="C88" s="49" t="s">
        <v>349</v>
      </c>
      <c r="D88" s="32">
        <v>1</v>
      </c>
      <c r="E88" s="32"/>
      <c r="F88" s="32"/>
      <c r="G88" s="53"/>
      <c r="H88" s="32"/>
      <c r="I88" s="32"/>
      <c r="J88" s="32"/>
      <c r="K88" s="32">
        <v>80</v>
      </c>
      <c r="L88" s="32">
        <v>4000</v>
      </c>
      <c r="M88" s="32"/>
      <c r="N88" s="32">
        <v>5</v>
      </c>
      <c r="O88" s="32"/>
      <c r="P88" s="32"/>
    </row>
    <row r="89" spans="1:16" ht="22.5" customHeight="1" x14ac:dyDescent="0.35">
      <c r="A89" s="52"/>
      <c r="B89" s="50" t="s">
        <v>350</v>
      </c>
      <c r="C89" s="49" t="s">
        <v>351</v>
      </c>
      <c r="D89" s="32"/>
      <c r="E89" s="32"/>
      <c r="F89" s="32"/>
      <c r="G89" s="53"/>
      <c r="H89" s="32"/>
      <c r="I89" s="32"/>
      <c r="J89" s="32"/>
      <c r="K89" s="32"/>
      <c r="L89" s="32"/>
      <c r="M89" s="32"/>
      <c r="N89" s="32"/>
      <c r="O89" s="32"/>
      <c r="P89" s="32"/>
    </row>
    <row r="90" spans="1:16" ht="22.5" customHeight="1" x14ac:dyDescent="0.35">
      <c r="A90" s="55" t="s">
        <v>1</v>
      </c>
      <c r="B90" s="45" t="s">
        <v>47</v>
      </c>
      <c r="C90" s="46"/>
      <c r="D90" s="32"/>
      <c r="E90" s="32"/>
      <c r="F90" s="32"/>
      <c r="G90" s="53"/>
      <c r="H90" s="32"/>
      <c r="I90" s="32"/>
      <c r="J90" s="32"/>
      <c r="K90" s="32"/>
      <c r="L90" s="32"/>
      <c r="M90" s="32"/>
      <c r="N90" s="32"/>
      <c r="O90" s="32"/>
      <c r="P90" s="32"/>
    </row>
    <row r="91" spans="1:16" ht="22.5" customHeight="1" x14ac:dyDescent="0.35">
      <c r="A91" s="47" t="s">
        <v>4</v>
      </c>
      <c r="B91" s="48" t="s">
        <v>352</v>
      </c>
      <c r="D91" s="32">
        <v>1</v>
      </c>
      <c r="E91" s="32"/>
      <c r="F91" s="32"/>
      <c r="G91" s="53"/>
      <c r="H91" s="32"/>
      <c r="I91" s="32"/>
      <c r="J91" s="32"/>
      <c r="K91" s="32"/>
      <c r="L91" s="32"/>
      <c r="M91" s="32"/>
      <c r="N91" s="32"/>
      <c r="O91" s="32"/>
      <c r="P91" s="32"/>
    </row>
    <row r="92" spans="1:16" ht="22.5" customHeight="1" x14ac:dyDescent="0.35">
      <c r="A92" s="52"/>
      <c r="B92" s="37" t="s">
        <v>353</v>
      </c>
      <c r="C92" s="49" t="s">
        <v>354</v>
      </c>
      <c r="D92" s="32">
        <v>3</v>
      </c>
      <c r="E92" s="32">
        <v>4</v>
      </c>
      <c r="F92" s="32">
        <v>150</v>
      </c>
      <c r="G92" s="33"/>
      <c r="H92" s="32">
        <v>10000</v>
      </c>
      <c r="I92" s="32"/>
      <c r="J92" s="32"/>
      <c r="K92" s="32">
        <v>2</v>
      </c>
      <c r="L92" s="32">
        <v>2000</v>
      </c>
      <c r="M92" s="32"/>
      <c r="N92" s="32">
        <v>150</v>
      </c>
      <c r="O92" s="32"/>
      <c r="P92" s="32">
        <v>2500</v>
      </c>
    </row>
    <row r="93" spans="1:16" ht="22.5" customHeight="1" x14ac:dyDescent="0.35">
      <c r="A93" s="52"/>
      <c r="B93" s="37" t="s">
        <v>355</v>
      </c>
      <c r="C93" s="49" t="s">
        <v>356</v>
      </c>
      <c r="D93" s="32">
        <v>1</v>
      </c>
      <c r="E93" s="32"/>
      <c r="F93" s="32"/>
      <c r="G93" s="33"/>
      <c r="H93" s="32"/>
      <c r="I93" s="32"/>
      <c r="J93" s="32"/>
      <c r="K93" s="32"/>
      <c r="L93" s="32"/>
      <c r="M93" s="32"/>
      <c r="N93" s="32"/>
      <c r="O93" s="32"/>
      <c r="P93" s="32"/>
    </row>
    <row r="94" spans="1:16" ht="22.5" customHeight="1" x14ac:dyDescent="0.35">
      <c r="A94" s="52"/>
      <c r="B94" s="37" t="s">
        <v>357</v>
      </c>
      <c r="C94" s="49" t="s">
        <v>358</v>
      </c>
      <c r="D94" s="32">
        <v>1</v>
      </c>
      <c r="E94" s="32"/>
      <c r="F94" s="32"/>
      <c r="G94" s="33"/>
      <c r="H94" s="32"/>
      <c r="I94" s="32"/>
      <c r="J94" s="32"/>
      <c r="K94" s="32"/>
      <c r="L94" s="32"/>
      <c r="M94" s="32"/>
      <c r="N94" s="32"/>
      <c r="O94" s="32"/>
      <c r="P94" s="32"/>
    </row>
    <row r="95" spans="1:16" ht="22.5" customHeight="1" x14ac:dyDescent="0.35">
      <c r="A95" s="52"/>
      <c r="B95" s="37" t="s">
        <v>359</v>
      </c>
      <c r="C95" s="49" t="s">
        <v>360</v>
      </c>
      <c r="D95" s="32">
        <v>1</v>
      </c>
      <c r="E95" s="32"/>
      <c r="F95" s="32"/>
      <c r="G95" s="33"/>
      <c r="H95" s="32"/>
      <c r="I95" s="32"/>
      <c r="J95" s="32"/>
      <c r="K95" s="32"/>
      <c r="L95" s="32"/>
      <c r="M95" s="32"/>
      <c r="N95" s="32"/>
      <c r="O95" s="32"/>
      <c r="P95" s="32"/>
    </row>
    <row r="96" spans="1:16" ht="22.5" customHeight="1" x14ac:dyDescent="0.35">
      <c r="A96" s="52"/>
      <c r="B96" s="37" t="s">
        <v>361</v>
      </c>
      <c r="C96" s="49" t="s">
        <v>362</v>
      </c>
      <c r="D96" s="56">
        <v>1</v>
      </c>
      <c r="E96" s="32"/>
      <c r="F96" s="32"/>
      <c r="G96" s="33"/>
      <c r="H96" s="32"/>
      <c r="I96" s="32"/>
      <c r="J96" s="32"/>
      <c r="K96" s="32"/>
      <c r="L96" s="32"/>
      <c r="M96" s="32"/>
      <c r="N96" s="32"/>
      <c r="O96" s="32"/>
      <c r="P96" s="32"/>
    </row>
    <row r="97" spans="1:66" ht="22.5" customHeight="1" x14ac:dyDescent="0.35">
      <c r="A97" s="52"/>
      <c r="B97" s="37" t="s">
        <v>363</v>
      </c>
      <c r="C97" s="49" t="s">
        <v>364</v>
      </c>
      <c r="D97" s="56">
        <v>1</v>
      </c>
      <c r="E97" s="32"/>
      <c r="F97" s="32"/>
      <c r="G97" s="33"/>
      <c r="H97" s="32"/>
      <c r="I97" s="32"/>
      <c r="J97" s="32"/>
      <c r="K97" s="32"/>
      <c r="L97" s="32"/>
      <c r="M97" s="32"/>
      <c r="N97" s="32"/>
      <c r="O97" s="32"/>
      <c r="P97" s="32"/>
    </row>
    <row r="98" spans="1:66" ht="22.5" customHeight="1" x14ac:dyDescent="0.35">
      <c r="A98" s="52"/>
      <c r="B98" s="37" t="s">
        <v>365</v>
      </c>
      <c r="C98" s="49" t="s">
        <v>366</v>
      </c>
      <c r="D98" s="56"/>
      <c r="E98" s="32"/>
      <c r="F98" s="32"/>
      <c r="G98" s="33"/>
      <c r="H98" s="32"/>
      <c r="I98" s="32"/>
      <c r="J98" s="32"/>
      <c r="K98" s="32"/>
      <c r="L98" s="32"/>
      <c r="M98" s="32"/>
      <c r="N98" s="32"/>
      <c r="O98" s="32"/>
      <c r="P98" s="32"/>
    </row>
    <row r="99" spans="1:66" ht="22.5" customHeight="1" x14ac:dyDescent="0.35">
      <c r="A99" s="52"/>
      <c r="B99" s="48" t="s">
        <v>66</v>
      </c>
      <c r="D99" s="56">
        <v>1</v>
      </c>
      <c r="E99" s="32"/>
      <c r="F99" s="32"/>
      <c r="G99" s="33"/>
      <c r="H99" s="32"/>
      <c r="I99" s="32"/>
      <c r="J99" s="32"/>
      <c r="K99" s="32"/>
      <c r="L99" s="32"/>
      <c r="M99" s="32"/>
      <c r="N99" s="32"/>
      <c r="O99" s="32"/>
      <c r="P99" s="32"/>
    </row>
    <row r="100" spans="1:66" ht="22.5" customHeight="1" x14ac:dyDescent="0.35">
      <c r="A100" s="52"/>
      <c r="B100" s="37" t="s">
        <v>367</v>
      </c>
      <c r="C100" s="49" t="s">
        <v>368</v>
      </c>
      <c r="D100" s="56">
        <v>1</v>
      </c>
      <c r="E100" s="32"/>
      <c r="F100" s="32"/>
      <c r="G100" s="33"/>
      <c r="H100" s="32"/>
      <c r="I100" s="32"/>
      <c r="J100" s="32"/>
      <c r="K100" s="32"/>
      <c r="L100" s="32"/>
      <c r="M100" s="32"/>
      <c r="N100" s="32"/>
      <c r="O100" s="32"/>
      <c r="P100" s="32"/>
    </row>
    <row r="101" spans="1:66" ht="22.5" customHeight="1" x14ac:dyDescent="0.35">
      <c r="A101" s="52"/>
      <c r="B101" s="37" t="s">
        <v>369</v>
      </c>
      <c r="C101" s="49" t="s">
        <v>370</v>
      </c>
      <c r="D101" s="56"/>
      <c r="E101" s="32"/>
      <c r="F101" s="32"/>
      <c r="G101" s="33"/>
      <c r="H101" s="32"/>
      <c r="I101" s="32"/>
      <c r="J101" s="32"/>
      <c r="K101" s="32"/>
      <c r="L101" s="32"/>
      <c r="M101" s="32"/>
      <c r="N101" s="32"/>
      <c r="O101" s="32"/>
      <c r="P101" s="32"/>
    </row>
    <row r="102" spans="1:66" ht="22.5" customHeight="1" x14ac:dyDescent="0.35">
      <c r="A102" s="52"/>
      <c r="B102" s="48" t="s">
        <v>68</v>
      </c>
      <c r="D102" s="56">
        <v>1</v>
      </c>
      <c r="E102" s="32"/>
      <c r="F102" s="32"/>
      <c r="G102" s="33"/>
      <c r="H102" s="32"/>
      <c r="I102" s="32"/>
      <c r="J102" s="32"/>
      <c r="K102" s="32"/>
      <c r="L102" s="32"/>
      <c r="M102" s="32"/>
      <c r="N102" s="32"/>
      <c r="O102" s="32"/>
      <c r="P102" s="32"/>
    </row>
    <row r="103" spans="1:66" ht="22.5" customHeight="1" x14ac:dyDescent="0.35">
      <c r="A103" s="52"/>
      <c r="B103" s="37" t="s">
        <v>371</v>
      </c>
      <c r="C103" s="49" t="s">
        <v>372</v>
      </c>
      <c r="D103" s="32">
        <v>4</v>
      </c>
      <c r="E103" s="32">
        <v>4</v>
      </c>
      <c r="F103" s="32">
        <f>38*2</f>
        <v>76</v>
      </c>
      <c r="G103" s="33">
        <v>10000</v>
      </c>
      <c r="H103" s="32">
        <v>40000</v>
      </c>
      <c r="I103" s="32">
        <v>34</v>
      </c>
      <c r="J103" s="32"/>
      <c r="K103" s="32">
        <v>1</v>
      </c>
      <c r="L103" s="32"/>
      <c r="M103" s="32">
        <v>300000</v>
      </c>
      <c r="N103" s="32">
        <f>34+76</f>
        <v>110</v>
      </c>
      <c r="O103" s="32"/>
      <c r="P103" s="32">
        <v>15000</v>
      </c>
    </row>
    <row r="104" spans="1:66" ht="22.5" customHeight="1" x14ac:dyDescent="0.35">
      <c r="A104" s="52"/>
      <c r="B104" s="37" t="s">
        <v>373</v>
      </c>
      <c r="C104" s="49" t="s">
        <v>374</v>
      </c>
      <c r="D104" s="32"/>
      <c r="E104" s="32"/>
      <c r="F104" s="32"/>
      <c r="G104" s="33"/>
      <c r="H104" s="32"/>
      <c r="I104" s="32"/>
      <c r="J104" s="32"/>
      <c r="K104" s="32"/>
      <c r="L104" s="32"/>
      <c r="M104" s="32"/>
      <c r="N104" s="32"/>
      <c r="O104" s="32"/>
      <c r="P104" s="32"/>
    </row>
    <row r="105" spans="1:66" ht="22.5" customHeight="1" x14ac:dyDescent="0.35">
      <c r="A105" s="55" t="s">
        <v>1</v>
      </c>
      <c r="B105" s="45" t="s">
        <v>48</v>
      </c>
      <c r="C105" s="46"/>
      <c r="D105" s="32"/>
      <c r="E105" s="32"/>
      <c r="F105" s="32"/>
      <c r="G105" s="33"/>
      <c r="H105" s="32"/>
      <c r="I105" s="32"/>
      <c r="J105" s="32"/>
      <c r="K105" s="32"/>
      <c r="L105" s="32"/>
      <c r="M105" s="32"/>
      <c r="N105" s="32"/>
      <c r="O105" s="32"/>
      <c r="P105" s="32"/>
    </row>
    <row r="106" spans="1:66" ht="22.5" customHeight="1" x14ac:dyDescent="0.35">
      <c r="A106" s="47" t="s">
        <v>4</v>
      </c>
      <c r="B106" s="48" t="s">
        <v>72</v>
      </c>
      <c r="D106" s="32">
        <v>1</v>
      </c>
      <c r="E106" s="32"/>
      <c r="F106" s="32"/>
      <c r="G106" s="33"/>
      <c r="H106" s="32"/>
      <c r="I106" s="32"/>
      <c r="J106" s="32"/>
      <c r="K106" s="32"/>
      <c r="L106" s="32"/>
      <c r="M106" s="32"/>
      <c r="N106" s="32"/>
      <c r="O106" s="32"/>
      <c r="P106" s="32"/>
    </row>
    <row r="107" spans="1:66" ht="22.5" customHeight="1" x14ac:dyDescent="0.35">
      <c r="A107" s="52"/>
      <c r="B107" s="50" t="s">
        <v>375</v>
      </c>
      <c r="C107" s="49" t="s">
        <v>376</v>
      </c>
      <c r="D107" s="32">
        <v>1</v>
      </c>
      <c r="E107" s="32"/>
      <c r="F107" s="32"/>
      <c r="G107" s="33"/>
      <c r="H107" s="32"/>
      <c r="I107" s="32"/>
      <c r="J107" s="32"/>
      <c r="K107" s="32"/>
      <c r="L107" s="32"/>
      <c r="M107" s="32"/>
      <c r="N107" s="32"/>
      <c r="O107" s="32"/>
      <c r="P107" s="32"/>
    </row>
    <row r="108" spans="1:66" ht="22.5" customHeight="1" x14ac:dyDescent="0.35">
      <c r="A108" s="52"/>
      <c r="B108" s="50" t="s">
        <v>377</v>
      </c>
      <c r="C108" s="49" t="s">
        <v>378</v>
      </c>
      <c r="D108" s="32"/>
      <c r="E108" s="32"/>
      <c r="F108" s="32"/>
      <c r="G108" s="33"/>
      <c r="H108" s="32"/>
      <c r="I108" s="32"/>
      <c r="J108" s="32"/>
      <c r="K108" s="32"/>
      <c r="L108" s="32"/>
      <c r="M108" s="32"/>
      <c r="N108" s="32"/>
      <c r="O108" s="32"/>
      <c r="P108" s="32"/>
    </row>
    <row r="109" spans="1:66" s="19" customFormat="1" ht="22.5" customHeight="1" x14ac:dyDescent="0.35">
      <c r="A109" s="52"/>
      <c r="B109" s="48" t="s">
        <v>74</v>
      </c>
      <c r="C109" s="54"/>
      <c r="D109" s="32">
        <v>1</v>
      </c>
      <c r="E109" s="32"/>
      <c r="F109" s="32"/>
      <c r="G109" s="53"/>
      <c r="H109" s="32"/>
      <c r="I109" s="32"/>
      <c r="J109" s="32"/>
      <c r="K109" s="32"/>
      <c r="L109" s="32"/>
      <c r="M109" s="32"/>
      <c r="N109" s="32"/>
      <c r="O109" s="32"/>
      <c r="P109" s="32"/>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row>
    <row r="110" spans="1:66" s="20" customFormat="1" ht="22.5" customHeight="1" x14ac:dyDescent="0.35">
      <c r="A110" s="52"/>
      <c r="B110" s="50" t="s">
        <v>379</v>
      </c>
      <c r="C110" s="49" t="s">
        <v>380</v>
      </c>
      <c r="D110" s="32">
        <v>1</v>
      </c>
      <c r="E110" s="32"/>
      <c r="F110" s="32"/>
      <c r="G110" s="53"/>
      <c r="H110" s="32"/>
      <c r="I110" s="32"/>
      <c r="J110" s="32"/>
      <c r="K110" s="32"/>
      <c r="L110" s="32"/>
      <c r="M110" s="32"/>
      <c r="N110" s="32"/>
      <c r="O110" s="32"/>
      <c r="P110" s="32"/>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row>
    <row r="111" spans="1:66" ht="22.5" customHeight="1" x14ac:dyDescent="0.35">
      <c r="A111" s="52"/>
      <c r="B111" s="50" t="s">
        <v>381</v>
      </c>
      <c r="C111" s="49" t="s">
        <v>382</v>
      </c>
      <c r="D111" s="32">
        <v>1</v>
      </c>
      <c r="E111" s="32"/>
      <c r="F111" s="32"/>
      <c r="G111" s="33"/>
      <c r="H111" s="32"/>
      <c r="I111" s="32"/>
      <c r="J111" s="32"/>
      <c r="K111" s="32"/>
      <c r="L111" s="32"/>
      <c r="M111" s="32"/>
      <c r="N111" s="32"/>
      <c r="O111" s="32"/>
      <c r="P111" s="32"/>
    </row>
    <row r="112" spans="1:66" ht="22.5" customHeight="1" x14ac:dyDescent="0.35">
      <c r="A112" s="52"/>
      <c r="B112" s="50" t="s">
        <v>383</v>
      </c>
      <c r="C112" s="49" t="s">
        <v>384</v>
      </c>
      <c r="D112" s="32">
        <v>1</v>
      </c>
      <c r="E112" s="32"/>
      <c r="F112" s="32"/>
      <c r="G112" s="33"/>
      <c r="H112" s="32"/>
      <c r="I112" s="32"/>
      <c r="J112" s="32"/>
      <c r="K112" s="32"/>
      <c r="L112" s="32"/>
      <c r="M112" s="32"/>
      <c r="N112" s="32"/>
      <c r="O112" s="32"/>
      <c r="P112" s="32"/>
    </row>
    <row r="113" spans="1:16" ht="22.5" customHeight="1" x14ac:dyDescent="0.35">
      <c r="A113" s="52"/>
      <c r="B113" s="50" t="s">
        <v>385</v>
      </c>
      <c r="C113" s="49" t="s">
        <v>386</v>
      </c>
      <c r="D113" s="32">
        <v>1</v>
      </c>
      <c r="E113" s="32"/>
      <c r="F113" s="32"/>
      <c r="G113" s="33"/>
      <c r="H113" s="32"/>
      <c r="I113" s="32"/>
      <c r="J113" s="32"/>
      <c r="K113" s="32"/>
      <c r="L113" s="32"/>
      <c r="M113" s="32"/>
      <c r="N113" s="32"/>
      <c r="O113" s="32"/>
      <c r="P113" s="32"/>
    </row>
    <row r="114" spans="1:16" ht="22.5" customHeight="1" x14ac:dyDescent="0.35">
      <c r="A114" s="52"/>
      <c r="B114" s="50" t="s">
        <v>387</v>
      </c>
      <c r="C114" s="49" t="s">
        <v>388</v>
      </c>
      <c r="D114" s="32"/>
      <c r="E114" s="32"/>
      <c r="F114" s="32"/>
      <c r="G114" s="33"/>
      <c r="H114" s="32"/>
      <c r="I114" s="32"/>
      <c r="J114" s="32"/>
      <c r="K114" s="32"/>
      <c r="L114" s="32"/>
      <c r="M114" s="32"/>
      <c r="N114" s="32"/>
      <c r="O114" s="32"/>
      <c r="P114" s="32"/>
    </row>
    <row r="115" spans="1:16" ht="22.5" customHeight="1" x14ac:dyDescent="0.35">
      <c r="A115" s="52"/>
      <c r="B115" s="48" t="s">
        <v>76</v>
      </c>
      <c r="D115" s="32">
        <v>1</v>
      </c>
      <c r="E115" s="32">
        <v>96</v>
      </c>
      <c r="F115" s="32">
        <v>960</v>
      </c>
      <c r="G115" s="33"/>
      <c r="H115" s="32">
        <v>10000</v>
      </c>
      <c r="I115" s="32"/>
      <c r="J115" s="32"/>
      <c r="K115" s="32">
        <v>1</v>
      </c>
      <c r="L115" s="32">
        <v>2000</v>
      </c>
      <c r="M115" s="32"/>
      <c r="N115" s="32">
        <v>960</v>
      </c>
      <c r="O115" s="32"/>
      <c r="P115" s="32">
        <v>2500</v>
      </c>
    </row>
    <row r="116" spans="1:16" ht="22.5" customHeight="1" x14ac:dyDescent="0.35">
      <c r="A116" s="52"/>
      <c r="B116" s="50" t="s">
        <v>389</v>
      </c>
      <c r="C116" s="49" t="s">
        <v>390</v>
      </c>
      <c r="D116" s="32">
        <v>52</v>
      </c>
      <c r="E116" s="32">
        <v>1</v>
      </c>
      <c r="F116" s="32">
        <v>1</v>
      </c>
      <c r="G116" s="33">
        <v>1</v>
      </c>
      <c r="H116" s="32">
        <v>1</v>
      </c>
      <c r="I116" s="32">
        <v>1</v>
      </c>
      <c r="J116" s="32">
        <v>1</v>
      </c>
      <c r="K116" s="32">
        <v>1</v>
      </c>
      <c r="L116" s="32">
        <v>4000</v>
      </c>
      <c r="M116" s="32"/>
      <c r="N116" s="32">
        <v>15</v>
      </c>
      <c r="O116" s="32"/>
      <c r="P116" s="32"/>
    </row>
    <row r="117" spans="1:16" ht="22.5" customHeight="1" x14ac:dyDescent="0.35">
      <c r="A117" s="52"/>
      <c r="B117" s="50" t="s">
        <v>391</v>
      </c>
      <c r="C117" s="49" t="s">
        <v>392</v>
      </c>
      <c r="D117" s="32">
        <v>1</v>
      </c>
      <c r="E117" s="32"/>
      <c r="F117" s="32"/>
      <c r="G117" s="33"/>
      <c r="H117" s="32"/>
      <c r="I117" s="32"/>
      <c r="J117" s="32"/>
      <c r="K117" s="32"/>
      <c r="L117" s="32"/>
      <c r="M117" s="32"/>
      <c r="N117" s="32"/>
      <c r="O117" s="32"/>
      <c r="P117" s="32"/>
    </row>
    <row r="118" spans="1:16" ht="22.5" customHeight="1" x14ac:dyDescent="0.35">
      <c r="A118" s="52"/>
      <c r="B118" s="50" t="s">
        <v>393</v>
      </c>
      <c r="C118" s="49" t="s">
        <v>394</v>
      </c>
      <c r="D118" s="32">
        <v>1</v>
      </c>
      <c r="E118" s="32"/>
      <c r="F118" s="32"/>
      <c r="G118" s="33"/>
      <c r="H118" s="32"/>
      <c r="I118" s="32"/>
      <c r="J118" s="32"/>
      <c r="K118" s="32"/>
      <c r="L118" s="32"/>
      <c r="M118" s="32"/>
      <c r="N118" s="32"/>
      <c r="O118" s="32"/>
      <c r="P118" s="32"/>
    </row>
    <row r="119" spans="1:16" ht="22.5" customHeight="1" x14ac:dyDescent="0.35">
      <c r="A119" s="52"/>
      <c r="B119" s="50" t="s">
        <v>395</v>
      </c>
      <c r="C119" s="49" t="s">
        <v>396</v>
      </c>
      <c r="D119" s="32">
        <v>1</v>
      </c>
      <c r="E119" s="32"/>
      <c r="F119" s="32"/>
      <c r="G119" s="33"/>
      <c r="H119" s="32"/>
      <c r="I119" s="32"/>
      <c r="J119" s="32"/>
      <c r="K119" s="32"/>
      <c r="L119" s="32"/>
      <c r="M119" s="32"/>
      <c r="N119" s="32"/>
      <c r="O119" s="32"/>
      <c r="P119" s="32"/>
    </row>
    <row r="120" spans="1:16" ht="22.5" customHeight="1" x14ac:dyDescent="0.35">
      <c r="A120" s="52"/>
      <c r="B120" s="50" t="s">
        <v>397</v>
      </c>
      <c r="C120" s="49" t="s">
        <v>398</v>
      </c>
      <c r="D120" s="32">
        <v>1</v>
      </c>
      <c r="E120" s="32"/>
      <c r="F120" s="32"/>
      <c r="G120" s="33"/>
      <c r="H120" s="32"/>
      <c r="I120" s="32"/>
      <c r="J120" s="32"/>
      <c r="K120" s="32"/>
      <c r="L120" s="32"/>
      <c r="M120" s="32"/>
      <c r="N120" s="32"/>
      <c r="O120" s="32"/>
      <c r="P120" s="32"/>
    </row>
    <row r="121" spans="1:16" ht="22.5" customHeight="1" x14ac:dyDescent="0.35">
      <c r="A121" s="52"/>
      <c r="B121" s="50" t="s">
        <v>399</v>
      </c>
      <c r="C121" s="49" t="s">
        <v>400</v>
      </c>
      <c r="D121" s="32">
        <v>1</v>
      </c>
      <c r="E121" s="32"/>
      <c r="F121" s="32"/>
      <c r="G121" s="33"/>
      <c r="H121" s="32"/>
      <c r="I121" s="32"/>
      <c r="J121" s="32"/>
      <c r="K121" s="32"/>
      <c r="L121" s="32"/>
      <c r="M121" s="32"/>
      <c r="N121" s="32"/>
      <c r="O121" s="32"/>
      <c r="P121" s="32"/>
    </row>
    <row r="122" spans="1:16" ht="22.5" customHeight="1" x14ac:dyDescent="0.35">
      <c r="A122" s="52"/>
      <c r="B122" s="50" t="s">
        <v>401</v>
      </c>
      <c r="C122" s="49" t="s">
        <v>402</v>
      </c>
      <c r="D122" s="32">
        <v>4</v>
      </c>
      <c r="E122" s="32"/>
      <c r="F122" s="32"/>
      <c r="G122" s="33"/>
      <c r="H122" s="32"/>
      <c r="I122" s="32"/>
      <c r="J122" s="32"/>
      <c r="K122" s="32">
        <v>6</v>
      </c>
      <c r="L122" s="32">
        <v>2000</v>
      </c>
      <c r="M122" s="32"/>
      <c r="N122" s="32">
        <v>5</v>
      </c>
      <c r="O122" s="32"/>
      <c r="P122" s="32"/>
    </row>
    <row r="123" spans="1:16" ht="22.5" customHeight="1" x14ac:dyDescent="0.35">
      <c r="A123" s="52"/>
      <c r="B123" s="50" t="s">
        <v>403</v>
      </c>
      <c r="C123" s="49" t="s">
        <v>404</v>
      </c>
      <c r="D123" s="32">
        <v>1</v>
      </c>
      <c r="E123" s="32"/>
      <c r="F123" s="32"/>
      <c r="G123" s="33"/>
      <c r="H123" s="32"/>
      <c r="I123" s="32"/>
      <c r="J123" s="32"/>
      <c r="K123" s="32"/>
      <c r="L123" s="32"/>
      <c r="M123" s="32"/>
      <c r="N123" s="32"/>
      <c r="O123" s="32"/>
      <c r="P123" s="32"/>
    </row>
    <row r="124" spans="1:16" ht="22.5" customHeight="1" x14ac:dyDescent="0.35">
      <c r="A124" s="52"/>
      <c r="B124" s="50" t="s">
        <v>405</v>
      </c>
      <c r="C124" s="49" t="s">
        <v>406</v>
      </c>
      <c r="D124" s="32">
        <v>1</v>
      </c>
      <c r="E124" s="32"/>
      <c r="F124" s="32"/>
      <c r="G124" s="33"/>
      <c r="H124" s="32"/>
      <c r="I124" s="32"/>
      <c r="J124" s="32"/>
      <c r="K124" s="32"/>
      <c r="L124" s="32"/>
      <c r="M124" s="32"/>
      <c r="N124" s="32"/>
      <c r="O124" s="32"/>
      <c r="P124" s="32"/>
    </row>
    <row r="125" spans="1:16" ht="22.5" customHeight="1" x14ac:dyDescent="0.35">
      <c r="A125" s="52"/>
      <c r="B125" s="50" t="s">
        <v>407</v>
      </c>
      <c r="C125" s="49" t="s">
        <v>408</v>
      </c>
      <c r="D125" s="32"/>
      <c r="E125" s="32"/>
      <c r="F125" s="32"/>
      <c r="G125" s="33"/>
      <c r="H125" s="32"/>
      <c r="I125" s="32"/>
      <c r="J125" s="32"/>
      <c r="K125" s="32"/>
      <c r="L125" s="32"/>
      <c r="M125" s="32"/>
      <c r="N125" s="32"/>
      <c r="O125" s="32"/>
      <c r="P125" s="32"/>
    </row>
    <row r="126" spans="1:16" ht="22.5" customHeight="1" x14ac:dyDescent="0.35">
      <c r="A126" s="52"/>
      <c r="B126" s="48" t="s">
        <v>78</v>
      </c>
      <c r="D126" s="32">
        <v>1</v>
      </c>
      <c r="E126" s="32">
        <v>4</v>
      </c>
      <c r="F126" s="32">
        <v>10</v>
      </c>
      <c r="G126" s="33"/>
      <c r="H126" s="32">
        <v>40000</v>
      </c>
      <c r="I126" s="32">
        <v>10</v>
      </c>
      <c r="J126" s="32"/>
      <c r="K126" s="32">
        <v>3</v>
      </c>
      <c r="L126" s="32">
        <v>10000</v>
      </c>
      <c r="M126" s="32">
        <v>300000</v>
      </c>
      <c r="N126" s="32">
        <v>30</v>
      </c>
      <c r="O126" s="32">
        <v>2500</v>
      </c>
      <c r="P126" s="32">
        <v>15000</v>
      </c>
    </row>
    <row r="127" spans="1:16" ht="22.5" customHeight="1" x14ac:dyDescent="0.35">
      <c r="A127" s="52"/>
      <c r="B127" s="50" t="s">
        <v>409</v>
      </c>
      <c r="C127" s="49" t="s">
        <v>410</v>
      </c>
      <c r="D127" s="32">
        <v>1</v>
      </c>
      <c r="E127" s="32">
        <v>96</v>
      </c>
      <c r="F127" s="32">
        <v>960</v>
      </c>
      <c r="G127" s="33"/>
      <c r="H127" s="32">
        <v>10000</v>
      </c>
      <c r="I127" s="32"/>
      <c r="J127" s="32"/>
      <c r="K127" s="32">
        <v>1</v>
      </c>
      <c r="L127" s="32">
        <v>2000</v>
      </c>
      <c r="M127" s="32">
        <v>0</v>
      </c>
      <c r="N127" s="32">
        <v>1000</v>
      </c>
      <c r="O127" s="32">
        <v>0</v>
      </c>
      <c r="P127" s="32">
        <v>2500</v>
      </c>
    </row>
    <row r="128" spans="1:16" ht="22.5" customHeight="1" x14ac:dyDescent="0.35">
      <c r="A128" s="52"/>
      <c r="B128" s="50" t="s">
        <v>411</v>
      </c>
      <c r="C128" s="49" t="s">
        <v>412</v>
      </c>
      <c r="D128" s="32">
        <v>1</v>
      </c>
      <c r="E128" s="32">
        <v>4</v>
      </c>
      <c r="F128" s="32">
        <v>10</v>
      </c>
      <c r="G128" s="53"/>
      <c r="H128" s="32">
        <v>40000</v>
      </c>
      <c r="I128" s="32">
        <v>10</v>
      </c>
      <c r="J128" s="32"/>
      <c r="K128" s="32">
        <v>3</v>
      </c>
      <c r="L128" s="32">
        <v>10000</v>
      </c>
      <c r="M128" s="32">
        <v>50000</v>
      </c>
      <c r="N128" s="32">
        <v>20</v>
      </c>
      <c r="O128" s="32">
        <v>0</v>
      </c>
      <c r="P128" s="32">
        <v>15000</v>
      </c>
    </row>
    <row r="129" spans="1:16" ht="22.5" customHeight="1" x14ac:dyDescent="0.35">
      <c r="A129" s="52"/>
      <c r="B129" s="50" t="s">
        <v>413</v>
      </c>
      <c r="C129" s="49" t="s">
        <v>414</v>
      </c>
      <c r="D129" s="32">
        <v>1</v>
      </c>
      <c r="E129" s="32"/>
      <c r="F129" s="32"/>
      <c r="G129" s="53"/>
      <c r="H129" s="32"/>
      <c r="I129" s="32"/>
      <c r="J129" s="32"/>
      <c r="K129" s="32"/>
      <c r="L129" s="32"/>
      <c r="M129" s="32"/>
      <c r="N129" s="32"/>
      <c r="O129" s="32"/>
      <c r="P129" s="32"/>
    </row>
    <row r="130" spans="1:16" ht="22.5" customHeight="1" x14ac:dyDescent="0.35">
      <c r="A130" s="52"/>
      <c r="B130" s="50" t="s">
        <v>415</v>
      </c>
      <c r="C130" s="49" t="s">
        <v>416</v>
      </c>
      <c r="D130" s="32"/>
      <c r="E130" s="32"/>
      <c r="F130" s="32"/>
      <c r="G130" s="53"/>
      <c r="H130" s="32"/>
      <c r="I130" s="32"/>
      <c r="J130" s="32"/>
      <c r="K130" s="32"/>
      <c r="L130" s="32"/>
      <c r="M130" s="32"/>
      <c r="N130" s="32"/>
      <c r="O130" s="32"/>
      <c r="P130" s="32"/>
    </row>
    <row r="131" spans="1:16" ht="22.5" customHeight="1" x14ac:dyDescent="0.35">
      <c r="A131" s="52"/>
      <c r="B131" s="50" t="s">
        <v>417</v>
      </c>
      <c r="C131" s="49" t="s">
        <v>418</v>
      </c>
      <c r="D131" s="32">
        <v>4</v>
      </c>
      <c r="E131" s="32">
        <v>42</v>
      </c>
      <c r="F131" s="32"/>
      <c r="G131" s="53"/>
      <c r="H131" s="32">
        <v>40000</v>
      </c>
      <c r="I131" s="32">
        <v>16</v>
      </c>
      <c r="J131" s="32"/>
      <c r="K131" s="32">
        <v>3</v>
      </c>
      <c r="L131" s="32"/>
      <c r="M131" s="32"/>
      <c r="N131" s="32"/>
      <c r="O131" s="32"/>
      <c r="P131" s="32"/>
    </row>
    <row r="132" spans="1:16" ht="22.5" customHeight="1" x14ac:dyDescent="0.35">
      <c r="A132" s="52"/>
      <c r="B132" s="50" t="s">
        <v>419</v>
      </c>
      <c r="C132" s="49" t="s">
        <v>420</v>
      </c>
      <c r="D132" s="32"/>
      <c r="E132" s="32"/>
      <c r="F132" s="32"/>
      <c r="G132" s="53"/>
      <c r="H132" s="32"/>
      <c r="I132" s="32"/>
      <c r="J132" s="32"/>
      <c r="K132" s="32"/>
      <c r="L132" s="32"/>
      <c r="M132" s="32"/>
      <c r="N132" s="32"/>
      <c r="O132" s="32"/>
      <c r="P132" s="32"/>
    </row>
    <row r="133" spans="1:16" ht="22.5" customHeight="1" x14ac:dyDescent="0.35">
      <c r="A133" s="55" t="s">
        <v>1</v>
      </c>
      <c r="B133" s="45" t="s">
        <v>49</v>
      </c>
      <c r="C133" s="32"/>
      <c r="D133" s="32"/>
      <c r="E133" s="32"/>
      <c r="F133" s="32"/>
      <c r="G133" s="53"/>
      <c r="H133" s="32"/>
      <c r="I133" s="32"/>
      <c r="J133" s="32"/>
      <c r="K133" s="32"/>
      <c r="L133" s="32"/>
      <c r="M133" s="32"/>
      <c r="N133" s="32"/>
      <c r="O133" s="32"/>
      <c r="P133" s="32"/>
    </row>
    <row r="134" spans="1:16" ht="22.5" customHeight="1" x14ac:dyDescent="0.35">
      <c r="A134" s="47" t="s">
        <v>4</v>
      </c>
      <c r="B134" s="48" t="s">
        <v>81</v>
      </c>
      <c r="D134" s="32">
        <v>1</v>
      </c>
      <c r="E134" s="32"/>
      <c r="F134" s="32"/>
      <c r="G134" s="53"/>
      <c r="H134" s="32"/>
      <c r="I134" s="32"/>
      <c r="J134" s="32"/>
      <c r="K134" s="32"/>
      <c r="L134" s="32"/>
      <c r="M134" s="32"/>
      <c r="N134" s="32"/>
      <c r="O134" s="32"/>
      <c r="P134" s="32"/>
    </row>
    <row r="135" spans="1:16" ht="22.5" customHeight="1" x14ac:dyDescent="0.35">
      <c r="A135" s="57"/>
      <c r="B135" s="37" t="s">
        <v>421</v>
      </c>
      <c r="C135" s="49" t="s">
        <v>422</v>
      </c>
      <c r="D135" s="32">
        <v>1</v>
      </c>
      <c r="E135" s="32">
        <v>4</v>
      </c>
      <c r="F135" s="32">
        <v>30</v>
      </c>
      <c r="G135" s="53">
        <v>2000</v>
      </c>
      <c r="H135" s="32">
        <v>10000</v>
      </c>
      <c r="I135" s="32">
        <v>10</v>
      </c>
      <c r="J135" s="32"/>
      <c r="K135" s="32">
        <v>2</v>
      </c>
      <c r="L135" s="32">
        <v>2000</v>
      </c>
      <c r="M135" s="32"/>
      <c r="N135" s="32">
        <v>40</v>
      </c>
      <c r="O135" s="32"/>
      <c r="P135" s="32">
        <v>2500</v>
      </c>
    </row>
    <row r="136" spans="1:16" ht="22.5" customHeight="1" x14ac:dyDescent="0.35">
      <c r="A136" s="57"/>
      <c r="B136" s="37" t="s">
        <v>423</v>
      </c>
      <c r="C136" s="49" t="s">
        <v>424</v>
      </c>
      <c r="D136" s="32">
        <v>1</v>
      </c>
      <c r="E136" s="32"/>
      <c r="F136" s="32"/>
      <c r="G136" s="53"/>
      <c r="H136" s="32"/>
      <c r="I136" s="32"/>
      <c r="J136" s="32"/>
      <c r="K136" s="32"/>
      <c r="L136" s="32"/>
      <c r="M136" s="32"/>
      <c r="N136" s="32"/>
      <c r="O136" s="32"/>
      <c r="P136" s="32"/>
    </row>
    <row r="137" spans="1:16" ht="22.5" customHeight="1" x14ac:dyDescent="0.35">
      <c r="A137" s="57"/>
      <c r="B137" s="50" t="s">
        <v>425</v>
      </c>
      <c r="C137" s="49" t="s">
        <v>426</v>
      </c>
      <c r="D137" s="32">
        <v>1</v>
      </c>
      <c r="E137" s="32"/>
      <c r="F137" s="32"/>
      <c r="G137" s="53"/>
      <c r="H137" s="32"/>
      <c r="I137" s="32"/>
      <c r="J137" s="32"/>
      <c r="K137" s="32"/>
      <c r="L137" s="32"/>
      <c r="M137" s="32"/>
      <c r="N137" s="32"/>
      <c r="O137" s="32"/>
      <c r="P137" s="32"/>
    </row>
    <row r="138" spans="1:16" ht="22.5" customHeight="1" x14ac:dyDescent="0.35">
      <c r="A138" s="57"/>
      <c r="B138" s="50" t="s">
        <v>427</v>
      </c>
      <c r="C138" s="49" t="s">
        <v>428</v>
      </c>
      <c r="D138" s="32">
        <v>1</v>
      </c>
      <c r="E138" s="32"/>
      <c r="F138" s="32"/>
      <c r="G138" s="53"/>
      <c r="H138" s="32"/>
      <c r="I138" s="32"/>
      <c r="J138" s="32"/>
      <c r="K138" s="32"/>
      <c r="L138" s="32"/>
      <c r="M138" s="32"/>
      <c r="N138" s="32"/>
      <c r="O138" s="32"/>
      <c r="P138" s="32"/>
    </row>
    <row r="139" spans="1:16" ht="22.5" customHeight="1" x14ac:dyDescent="0.35">
      <c r="A139" s="57"/>
      <c r="B139" s="50" t="s">
        <v>429</v>
      </c>
      <c r="C139" s="49" t="s">
        <v>430</v>
      </c>
      <c r="D139" s="32">
        <v>1</v>
      </c>
      <c r="E139" s="32"/>
      <c r="F139" s="32"/>
      <c r="G139" s="53"/>
      <c r="H139" s="32"/>
      <c r="I139" s="32"/>
      <c r="J139" s="32"/>
      <c r="K139" s="32"/>
      <c r="L139" s="32">
        <v>25000</v>
      </c>
      <c r="M139" s="32"/>
      <c r="N139" s="32">
        <v>10</v>
      </c>
      <c r="O139" s="32"/>
      <c r="P139" s="32"/>
    </row>
    <row r="140" spans="1:16" ht="22.5" customHeight="1" x14ac:dyDescent="0.35">
      <c r="A140" s="57"/>
      <c r="B140" s="37" t="s">
        <v>431</v>
      </c>
      <c r="C140" s="49" t="s">
        <v>432</v>
      </c>
      <c r="D140" s="32">
        <v>1</v>
      </c>
      <c r="E140" s="32"/>
      <c r="F140" s="32"/>
      <c r="G140" s="53"/>
      <c r="H140" s="32"/>
      <c r="I140" s="32"/>
      <c r="J140" s="32"/>
      <c r="K140" s="32"/>
      <c r="L140" s="32"/>
      <c r="M140" s="32"/>
      <c r="N140" s="32"/>
      <c r="O140" s="32"/>
      <c r="P140" s="32"/>
    </row>
    <row r="141" spans="1:16" ht="22.5" customHeight="1" x14ac:dyDescent="0.35">
      <c r="A141" s="57"/>
      <c r="B141" s="50" t="s">
        <v>433</v>
      </c>
      <c r="C141" s="49" t="s">
        <v>434</v>
      </c>
      <c r="D141" s="32">
        <v>1</v>
      </c>
      <c r="E141" s="32"/>
      <c r="F141" s="32"/>
      <c r="G141" s="53"/>
      <c r="H141" s="32"/>
      <c r="I141" s="32"/>
      <c r="J141" s="32"/>
      <c r="K141" s="32"/>
      <c r="L141" s="32"/>
      <c r="M141" s="32"/>
      <c r="N141" s="32"/>
      <c r="O141" s="32"/>
      <c r="P141" s="32"/>
    </row>
    <row r="142" spans="1:16" ht="22.5" customHeight="1" x14ac:dyDescent="0.35">
      <c r="A142" s="57"/>
      <c r="B142" s="50" t="s">
        <v>435</v>
      </c>
      <c r="C142" s="49" t="s">
        <v>436</v>
      </c>
      <c r="D142" s="32">
        <v>1</v>
      </c>
      <c r="E142" s="32"/>
      <c r="F142" s="32"/>
      <c r="G142" s="53"/>
      <c r="H142" s="32"/>
      <c r="I142" s="32"/>
      <c r="J142" s="32"/>
      <c r="K142" s="32"/>
      <c r="L142" s="32"/>
      <c r="M142" s="32"/>
      <c r="N142" s="32"/>
      <c r="O142" s="32"/>
      <c r="P142" s="32"/>
    </row>
    <row r="143" spans="1:16" ht="22.5" customHeight="1" x14ac:dyDescent="0.35">
      <c r="A143" s="57"/>
      <c r="B143" s="50" t="s">
        <v>437</v>
      </c>
      <c r="C143" s="49" t="s">
        <v>438</v>
      </c>
      <c r="D143" s="32">
        <v>1</v>
      </c>
      <c r="E143" s="32"/>
      <c r="F143" s="32"/>
      <c r="G143" s="53"/>
      <c r="H143" s="32"/>
      <c r="I143" s="32"/>
      <c r="J143" s="32"/>
      <c r="K143" s="32"/>
      <c r="L143" s="32"/>
      <c r="M143" s="32"/>
      <c r="N143" s="32"/>
      <c r="O143" s="32"/>
      <c r="P143" s="32"/>
    </row>
    <row r="144" spans="1:16" ht="22.5" customHeight="1" x14ac:dyDescent="0.35">
      <c r="A144" s="57"/>
      <c r="B144" s="50" t="s">
        <v>439</v>
      </c>
      <c r="C144" s="49" t="s">
        <v>440</v>
      </c>
      <c r="D144" s="32">
        <v>1</v>
      </c>
      <c r="E144" s="32"/>
      <c r="F144" s="32"/>
      <c r="G144" s="53"/>
      <c r="H144" s="32"/>
      <c r="I144" s="32"/>
      <c r="J144" s="32"/>
      <c r="K144" s="32"/>
      <c r="L144" s="32"/>
      <c r="M144" s="32"/>
      <c r="N144" s="32"/>
      <c r="O144" s="32"/>
      <c r="P144" s="32"/>
    </row>
    <row r="145" spans="1:17" ht="22.5" customHeight="1" x14ac:dyDescent="0.35">
      <c r="A145" s="57"/>
      <c r="B145" s="50" t="s">
        <v>441</v>
      </c>
      <c r="C145" s="49" t="s">
        <v>442</v>
      </c>
      <c r="D145" s="32">
        <v>1</v>
      </c>
      <c r="E145" s="32"/>
      <c r="F145" s="32"/>
      <c r="G145" s="33"/>
      <c r="H145" s="32"/>
      <c r="I145" s="32"/>
      <c r="J145" s="32"/>
      <c r="K145" s="32"/>
      <c r="L145" s="32"/>
      <c r="M145" s="32"/>
      <c r="N145" s="32"/>
      <c r="O145" s="32"/>
      <c r="P145" s="32"/>
    </row>
    <row r="146" spans="1:17" ht="22.5" customHeight="1" x14ac:dyDescent="0.35">
      <c r="A146" s="57"/>
      <c r="B146" s="50" t="s">
        <v>443</v>
      </c>
      <c r="C146" s="49" t="s">
        <v>444</v>
      </c>
      <c r="D146" s="32">
        <v>1</v>
      </c>
      <c r="E146" s="32"/>
      <c r="F146" s="32"/>
      <c r="G146" s="33"/>
      <c r="H146" s="32"/>
      <c r="I146" s="32"/>
      <c r="J146" s="32"/>
      <c r="K146" s="32"/>
      <c r="L146" s="32"/>
      <c r="M146" s="32"/>
      <c r="N146" s="32"/>
      <c r="O146" s="32">
        <v>1000000</v>
      </c>
      <c r="P146" s="32"/>
    </row>
    <row r="147" spans="1:17" ht="22.5" customHeight="1" x14ac:dyDescent="0.35">
      <c r="A147" s="57"/>
      <c r="B147" s="50" t="s">
        <v>445</v>
      </c>
      <c r="C147" s="49" t="s">
        <v>446</v>
      </c>
      <c r="D147" s="32"/>
      <c r="E147" s="32"/>
      <c r="F147" s="32"/>
      <c r="G147" s="33"/>
      <c r="H147" s="32"/>
      <c r="I147" s="32"/>
      <c r="J147" s="32"/>
      <c r="K147" s="32"/>
      <c r="L147" s="32"/>
      <c r="M147" s="32"/>
      <c r="N147" s="32"/>
      <c r="O147" s="32"/>
      <c r="P147" s="32"/>
    </row>
    <row r="148" spans="1:17" ht="22.5" customHeight="1" x14ac:dyDescent="0.35">
      <c r="A148" s="52"/>
      <c r="B148" s="48" t="s">
        <v>83</v>
      </c>
      <c r="D148" s="32">
        <v>1</v>
      </c>
      <c r="E148" s="32"/>
      <c r="F148" s="32"/>
      <c r="G148" s="33"/>
      <c r="H148" s="32"/>
      <c r="I148" s="32"/>
      <c r="J148" s="32"/>
      <c r="K148" s="32"/>
      <c r="L148" s="32"/>
      <c r="M148" s="32"/>
      <c r="N148" s="32"/>
      <c r="O148" s="32"/>
      <c r="P148" s="32"/>
    </row>
    <row r="149" spans="1:17" ht="22.5" customHeight="1" x14ac:dyDescent="0.35">
      <c r="A149" s="52"/>
      <c r="B149" s="50" t="s">
        <v>447</v>
      </c>
      <c r="C149" s="49" t="s">
        <v>448</v>
      </c>
      <c r="D149" s="32">
        <v>1</v>
      </c>
      <c r="E149" s="32"/>
      <c r="F149" s="32"/>
      <c r="G149" s="33"/>
      <c r="H149" s="32"/>
      <c r="I149" s="32"/>
      <c r="J149" s="32"/>
      <c r="K149" s="32"/>
      <c r="L149" s="32"/>
      <c r="M149" s="32"/>
      <c r="N149" s="32"/>
      <c r="O149" s="32"/>
      <c r="P149" s="32"/>
    </row>
    <row r="150" spans="1:17" ht="22.5" customHeight="1" x14ac:dyDescent="0.35">
      <c r="A150" s="52"/>
      <c r="B150" s="50" t="s">
        <v>449</v>
      </c>
      <c r="C150" s="49" t="s">
        <v>450</v>
      </c>
      <c r="D150" s="32">
        <v>1</v>
      </c>
      <c r="E150" s="32"/>
      <c r="F150" s="32"/>
      <c r="G150" s="33"/>
      <c r="H150" s="32"/>
      <c r="I150" s="32"/>
      <c r="J150" s="32"/>
      <c r="K150" s="32"/>
      <c r="L150" s="32"/>
      <c r="M150" s="32"/>
      <c r="N150" s="32"/>
      <c r="O150" s="32"/>
      <c r="P150" s="32"/>
    </row>
    <row r="151" spans="1:17" ht="22.5" customHeight="1" x14ac:dyDescent="0.35">
      <c r="A151" s="52"/>
      <c r="B151" s="50" t="s">
        <v>451</v>
      </c>
      <c r="C151" s="49" t="s">
        <v>452</v>
      </c>
      <c r="D151" s="32">
        <v>1</v>
      </c>
      <c r="E151" s="32"/>
      <c r="F151" s="32"/>
      <c r="G151" s="33"/>
      <c r="H151" s="32"/>
      <c r="I151" s="32"/>
      <c r="J151" s="32"/>
      <c r="K151" s="32"/>
      <c r="L151" s="32"/>
      <c r="M151" s="32"/>
      <c r="N151" s="32"/>
      <c r="O151" s="32"/>
      <c r="P151" s="32"/>
    </row>
    <row r="152" spans="1:17" ht="22.5" customHeight="1" x14ac:dyDescent="0.35">
      <c r="A152" s="52"/>
      <c r="B152" s="50" t="s">
        <v>453</v>
      </c>
      <c r="C152" s="49" t="s">
        <v>454</v>
      </c>
      <c r="D152" s="32">
        <v>1</v>
      </c>
      <c r="E152" s="32"/>
      <c r="F152" s="32"/>
      <c r="G152" s="33"/>
      <c r="H152" s="32"/>
      <c r="I152" s="32"/>
      <c r="J152" s="32"/>
      <c r="K152" s="32"/>
      <c r="L152" s="32"/>
      <c r="M152" s="32"/>
      <c r="N152" s="32"/>
      <c r="O152" s="32"/>
      <c r="P152" s="32"/>
    </row>
    <row r="153" spans="1:17" ht="22.5" customHeight="1" x14ac:dyDescent="0.35">
      <c r="A153" s="52"/>
      <c r="B153" s="50" t="s">
        <v>455</v>
      </c>
      <c r="C153" s="49" t="s">
        <v>456</v>
      </c>
      <c r="D153" s="32"/>
      <c r="E153" s="32"/>
      <c r="F153" s="32"/>
      <c r="G153" s="33"/>
      <c r="H153" s="32"/>
      <c r="I153" s="32"/>
      <c r="J153" s="32"/>
      <c r="K153" s="32"/>
      <c r="L153" s="32"/>
      <c r="M153" s="32"/>
      <c r="N153" s="32"/>
      <c r="O153" s="32"/>
      <c r="P153" s="32"/>
    </row>
    <row r="154" spans="1:17" ht="22.5" customHeight="1" x14ac:dyDescent="0.35">
      <c r="A154" s="55" t="s">
        <v>1</v>
      </c>
      <c r="B154" s="45" t="s">
        <v>50</v>
      </c>
      <c r="C154" s="32"/>
      <c r="D154" s="32"/>
      <c r="E154" s="32"/>
      <c r="F154" s="32"/>
      <c r="G154" s="33"/>
      <c r="H154" s="32"/>
      <c r="I154" s="32"/>
      <c r="J154" s="32"/>
      <c r="K154" s="32"/>
      <c r="L154" s="32"/>
      <c r="M154" s="32"/>
      <c r="N154" s="32"/>
      <c r="O154" s="32"/>
      <c r="P154" s="32"/>
    </row>
    <row r="155" spans="1:17" ht="22.5" customHeight="1" x14ac:dyDescent="0.35">
      <c r="A155" s="47" t="s">
        <v>4</v>
      </c>
      <c r="B155" s="48" t="s">
        <v>85</v>
      </c>
      <c r="D155" s="32">
        <v>1</v>
      </c>
      <c r="E155" s="32">
        <v>96</v>
      </c>
      <c r="F155" s="32">
        <f>96*3</f>
        <v>288</v>
      </c>
      <c r="G155" s="33"/>
      <c r="H155" s="32">
        <v>10000</v>
      </c>
      <c r="I155" s="32">
        <v>96</v>
      </c>
      <c r="J155" s="32"/>
      <c r="K155" s="32">
        <v>1</v>
      </c>
      <c r="L155" s="32">
        <v>2000</v>
      </c>
      <c r="M155" s="32"/>
      <c r="N155" s="32">
        <f>288+96</f>
        <v>384</v>
      </c>
      <c r="O155" s="32"/>
      <c r="P155" s="32">
        <v>2500</v>
      </c>
    </row>
    <row r="156" spans="1:17" ht="22.5" customHeight="1" x14ac:dyDescent="0.35">
      <c r="A156" s="57"/>
      <c r="B156" s="37" t="s">
        <v>457</v>
      </c>
      <c r="C156" s="49" t="s">
        <v>1351</v>
      </c>
      <c r="D156" s="32">
        <v>1</v>
      </c>
      <c r="E156" s="32"/>
      <c r="F156" s="32"/>
      <c r="G156" s="33"/>
      <c r="H156" s="32"/>
      <c r="I156" s="32"/>
      <c r="J156" s="32"/>
      <c r="K156" s="32"/>
      <c r="L156" s="32"/>
      <c r="M156" s="32"/>
      <c r="N156" s="32"/>
      <c r="O156" s="32"/>
      <c r="P156" s="32"/>
      <c r="Q156" s="10" t="s">
        <v>459</v>
      </c>
    </row>
    <row r="157" spans="1:17" ht="22.5" customHeight="1" x14ac:dyDescent="0.35">
      <c r="A157" s="57"/>
      <c r="B157" s="37" t="s">
        <v>460</v>
      </c>
      <c r="C157" s="49" t="s">
        <v>1352</v>
      </c>
      <c r="D157" s="32">
        <v>1</v>
      </c>
      <c r="E157" s="32"/>
      <c r="F157" s="32"/>
      <c r="G157" s="33"/>
      <c r="H157" s="32"/>
      <c r="I157" s="32"/>
      <c r="J157" s="32"/>
      <c r="K157" s="32"/>
      <c r="L157" s="32"/>
      <c r="M157" s="32"/>
      <c r="N157" s="32"/>
      <c r="O157" s="32"/>
      <c r="P157" s="32"/>
    </row>
    <row r="158" spans="1:17" ht="22.5" customHeight="1" x14ac:dyDescent="0.35">
      <c r="A158" s="57"/>
      <c r="B158" s="37" t="s">
        <v>462</v>
      </c>
      <c r="C158" s="49" t="s">
        <v>1353</v>
      </c>
      <c r="D158" s="32">
        <v>1</v>
      </c>
      <c r="E158" s="32"/>
      <c r="F158" s="32"/>
      <c r="G158" s="33"/>
      <c r="H158" s="32"/>
      <c r="I158" s="32"/>
      <c r="J158" s="32"/>
      <c r="K158" s="32"/>
      <c r="L158" s="32"/>
      <c r="M158" s="32"/>
      <c r="N158" s="32"/>
      <c r="O158" s="32"/>
      <c r="P158" s="32"/>
    </row>
    <row r="159" spans="1:17" ht="22.5" customHeight="1" x14ac:dyDescent="0.35">
      <c r="A159" s="57"/>
      <c r="B159" s="37" t="s">
        <v>464</v>
      </c>
      <c r="C159" s="49" t="s">
        <v>1354</v>
      </c>
      <c r="D159" s="32">
        <v>1</v>
      </c>
      <c r="E159" s="32"/>
      <c r="F159" s="32"/>
      <c r="G159" s="33"/>
      <c r="H159" s="32"/>
      <c r="I159" s="32"/>
      <c r="J159" s="32"/>
      <c r="K159" s="32"/>
      <c r="L159" s="32"/>
      <c r="M159" s="32"/>
      <c r="N159" s="32"/>
      <c r="O159" s="32"/>
      <c r="P159" s="32"/>
    </row>
    <row r="160" spans="1:17" ht="22.5" customHeight="1" x14ac:dyDescent="0.35">
      <c r="A160" s="57"/>
      <c r="B160" s="37" t="s">
        <v>466</v>
      </c>
      <c r="C160" s="49" t="s">
        <v>1355</v>
      </c>
      <c r="D160" s="32">
        <v>1</v>
      </c>
      <c r="E160" s="32"/>
      <c r="F160" s="32"/>
      <c r="G160" s="33"/>
      <c r="H160" s="32"/>
      <c r="I160" s="32"/>
      <c r="J160" s="32"/>
      <c r="K160" s="32"/>
      <c r="L160" s="32"/>
      <c r="M160" s="32"/>
      <c r="N160" s="32"/>
      <c r="O160" s="32"/>
      <c r="P160" s="32"/>
    </row>
    <row r="161" spans="1:16" ht="22.5" customHeight="1" x14ac:dyDescent="0.35">
      <c r="A161" s="57"/>
      <c r="B161" s="37" t="s">
        <v>468</v>
      </c>
      <c r="C161" s="49" t="s">
        <v>1356</v>
      </c>
      <c r="D161" s="32">
        <v>1</v>
      </c>
      <c r="E161" s="32"/>
      <c r="F161" s="32"/>
      <c r="G161" s="33"/>
      <c r="H161" s="32"/>
      <c r="I161" s="32"/>
      <c r="J161" s="32"/>
      <c r="K161" s="32"/>
      <c r="L161" s="32"/>
      <c r="M161" s="32"/>
      <c r="N161" s="32"/>
      <c r="O161" s="32"/>
      <c r="P161" s="32"/>
    </row>
    <row r="162" spans="1:16" ht="22.5" customHeight="1" x14ac:dyDescent="0.35">
      <c r="A162" s="57"/>
      <c r="B162" s="37" t="s">
        <v>470</v>
      </c>
      <c r="C162" s="49" t="s">
        <v>1357</v>
      </c>
      <c r="D162" s="32">
        <v>1</v>
      </c>
      <c r="E162" s="32"/>
      <c r="F162" s="32"/>
      <c r="G162" s="33"/>
      <c r="H162" s="32"/>
      <c r="I162" s="32"/>
      <c r="J162" s="32"/>
      <c r="K162" s="32"/>
      <c r="L162" s="32"/>
      <c r="M162" s="32"/>
      <c r="N162" s="32"/>
      <c r="O162" s="32"/>
      <c r="P162" s="32"/>
    </row>
    <row r="163" spans="1:16" ht="22.5" customHeight="1" x14ac:dyDescent="0.35">
      <c r="A163" s="57"/>
      <c r="B163" s="37" t="s">
        <v>472</v>
      </c>
      <c r="C163" s="49" t="s">
        <v>1358</v>
      </c>
      <c r="D163" s="32">
        <v>1</v>
      </c>
      <c r="E163" s="32"/>
      <c r="F163" s="32"/>
      <c r="G163" s="33"/>
      <c r="H163" s="32"/>
      <c r="I163" s="32"/>
      <c r="J163" s="32"/>
      <c r="K163" s="32"/>
      <c r="L163" s="32"/>
      <c r="M163" s="32"/>
      <c r="N163" s="32"/>
      <c r="O163" s="32"/>
      <c r="P163" s="32"/>
    </row>
    <row r="164" spans="1:16" ht="22.5" customHeight="1" x14ac:dyDescent="0.35">
      <c r="A164" s="57"/>
      <c r="B164" s="37" t="s">
        <v>474</v>
      </c>
      <c r="C164" s="49" t="s">
        <v>1359</v>
      </c>
      <c r="D164" s="32"/>
      <c r="E164" s="32"/>
      <c r="F164" s="32"/>
      <c r="G164" s="33"/>
      <c r="H164" s="32"/>
      <c r="I164" s="32"/>
      <c r="J164" s="32"/>
      <c r="K164" s="32"/>
      <c r="L164" s="32"/>
      <c r="M164" s="32"/>
      <c r="N164" s="32"/>
      <c r="O164" s="32"/>
      <c r="P164" s="32"/>
    </row>
    <row r="165" spans="1:16" ht="22.5" customHeight="1" x14ac:dyDescent="0.35">
      <c r="A165" s="52"/>
      <c r="B165" s="48" t="s">
        <v>87</v>
      </c>
      <c r="D165" s="32">
        <v>1</v>
      </c>
      <c r="E165" s="32"/>
      <c r="F165" s="32"/>
      <c r="G165" s="33"/>
      <c r="H165" s="32"/>
      <c r="I165" s="32"/>
      <c r="J165" s="32"/>
      <c r="K165" s="32"/>
      <c r="L165" s="32"/>
      <c r="M165" s="32"/>
      <c r="N165" s="32"/>
      <c r="O165" s="32"/>
      <c r="P165" s="32"/>
    </row>
    <row r="166" spans="1:16" ht="22.5" customHeight="1" x14ac:dyDescent="0.35">
      <c r="A166" s="52"/>
      <c r="B166" s="58" t="s">
        <v>475</v>
      </c>
      <c r="C166" s="49" t="s">
        <v>1360</v>
      </c>
      <c r="D166" s="32">
        <v>1</v>
      </c>
      <c r="E166" s="32"/>
      <c r="F166" s="32"/>
      <c r="G166" s="33"/>
      <c r="H166" s="32"/>
      <c r="I166" s="32"/>
      <c r="J166" s="32"/>
      <c r="K166" s="32"/>
      <c r="L166" s="32"/>
      <c r="M166" s="32"/>
      <c r="N166" s="32"/>
      <c r="O166" s="32"/>
      <c r="P166" s="32"/>
    </row>
    <row r="167" spans="1:16" ht="22.5" customHeight="1" x14ac:dyDescent="0.35">
      <c r="A167" s="52"/>
      <c r="B167" s="59" t="s">
        <v>476</v>
      </c>
      <c r="C167" s="49" t="s">
        <v>1361</v>
      </c>
      <c r="D167" s="32">
        <v>1</v>
      </c>
      <c r="E167" s="32"/>
      <c r="F167" s="32"/>
      <c r="G167" s="33"/>
      <c r="H167" s="32"/>
      <c r="I167" s="32"/>
      <c r="J167" s="32"/>
      <c r="K167" s="32"/>
      <c r="L167" s="32"/>
      <c r="M167" s="32"/>
      <c r="N167" s="32"/>
      <c r="O167" s="32"/>
      <c r="P167" s="32"/>
    </row>
    <row r="168" spans="1:16" ht="22.5" customHeight="1" x14ac:dyDescent="0.35">
      <c r="A168" s="52"/>
      <c r="B168" s="37" t="s">
        <v>477</v>
      </c>
      <c r="C168" s="49" t="s">
        <v>1362</v>
      </c>
      <c r="D168" s="32">
        <v>1</v>
      </c>
      <c r="E168" s="32"/>
      <c r="F168" s="32"/>
      <c r="G168" s="33"/>
      <c r="H168" s="32"/>
      <c r="I168" s="32"/>
      <c r="J168" s="32"/>
      <c r="K168" s="32"/>
      <c r="L168" s="32"/>
      <c r="M168" s="32"/>
      <c r="N168" s="32"/>
      <c r="O168" s="32"/>
      <c r="P168" s="32"/>
    </row>
    <row r="169" spans="1:16" ht="22.5" customHeight="1" x14ac:dyDescent="0.35">
      <c r="A169" s="52"/>
      <c r="B169" s="37" t="s">
        <v>478</v>
      </c>
      <c r="C169" s="49" t="s">
        <v>1363</v>
      </c>
      <c r="D169" s="32">
        <v>1</v>
      </c>
      <c r="E169" s="32"/>
      <c r="F169" s="32"/>
      <c r="G169" s="33"/>
      <c r="H169" s="32"/>
      <c r="I169" s="32"/>
      <c r="J169" s="32"/>
      <c r="K169" s="32"/>
      <c r="L169" s="32"/>
      <c r="M169" s="32"/>
      <c r="N169" s="32"/>
      <c r="O169" s="32"/>
      <c r="P169" s="32"/>
    </row>
    <row r="170" spans="1:16" ht="22.5" customHeight="1" x14ac:dyDescent="0.35">
      <c r="A170" s="52"/>
      <c r="B170" s="37" t="s">
        <v>479</v>
      </c>
      <c r="C170" s="49" t="s">
        <v>1364</v>
      </c>
      <c r="D170" s="32">
        <v>1</v>
      </c>
      <c r="E170" s="32"/>
      <c r="F170" s="32"/>
      <c r="G170" s="33"/>
      <c r="H170" s="32"/>
      <c r="I170" s="32"/>
      <c r="J170" s="32"/>
      <c r="K170" s="32"/>
      <c r="L170" s="32"/>
      <c r="M170" s="32"/>
      <c r="N170" s="32"/>
      <c r="O170" s="32"/>
      <c r="P170" s="32"/>
    </row>
    <row r="171" spans="1:16" ht="22.5" customHeight="1" x14ac:dyDescent="0.35">
      <c r="A171" s="52"/>
      <c r="B171" s="37" t="s">
        <v>480</v>
      </c>
      <c r="C171" s="49" t="s">
        <v>1365</v>
      </c>
      <c r="D171" s="32">
        <v>1</v>
      </c>
      <c r="E171" s="32">
        <v>96</v>
      </c>
      <c r="F171" s="32">
        <f>96*3</f>
        <v>288</v>
      </c>
      <c r="G171" s="33"/>
      <c r="H171" s="32">
        <v>10000</v>
      </c>
      <c r="I171" s="32">
        <f>96*2</f>
        <v>192</v>
      </c>
      <c r="J171" s="32"/>
      <c r="K171" s="32">
        <v>1</v>
      </c>
      <c r="L171" s="32">
        <v>2000</v>
      </c>
      <c r="M171" s="32"/>
      <c r="N171" s="32">
        <f>F171+I171</f>
        <v>480</v>
      </c>
      <c r="O171" s="32"/>
      <c r="P171" s="32">
        <v>2500</v>
      </c>
    </row>
    <row r="172" spans="1:16" ht="22.5" customHeight="1" x14ac:dyDescent="0.35">
      <c r="A172" s="52"/>
      <c r="B172" s="58" t="s">
        <v>481</v>
      </c>
      <c r="C172" s="49" t="s">
        <v>1366</v>
      </c>
      <c r="D172" s="32">
        <v>1</v>
      </c>
      <c r="E172" s="32"/>
      <c r="F172" s="32"/>
      <c r="G172" s="33"/>
      <c r="H172" s="32"/>
      <c r="I172" s="32"/>
      <c r="J172" s="32"/>
      <c r="K172" s="32"/>
      <c r="L172" s="32"/>
      <c r="M172" s="32"/>
      <c r="N172" s="32"/>
      <c r="O172" s="32"/>
      <c r="P172" s="32"/>
    </row>
    <row r="173" spans="1:16" ht="22.5" customHeight="1" x14ac:dyDescent="0.35">
      <c r="A173" s="52"/>
      <c r="B173" s="58" t="s">
        <v>482</v>
      </c>
      <c r="C173" s="49" t="s">
        <v>1367</v>
      </c>
      <c r="D173" s="32">
        <v>1</v>
      </c>
      <c r="E173" s="32"/>
      <c r="F173" s="32"/>
      <c r="G173" s="33"/>
      <c r="H173" s="32"/>
      <c r="I173" s="32"/>
      <c r="J173" s="32"/>
      <c r="K173" s="32"/>
      <c r="L173" s="32"/>
      <c r="M173" s="32"/>
      <c r="N173" s="32"/>
      <c r="O173" s="32"/>
      <c r="P173" s="32"/>
    </row>
    <row r="174" spans="1:16" ht="22.5" customHeight="1" x14ac:dyDescent="0.35">
      <c r="A174" s="52"/>
      <c r="B174" s="60" t="s">
        <v>483</v>
      </c>
      <c r="C174" s="49" t="s">
        <v>1368</v>
      </c>
      <c r="D174" s="32">
        <v>12</v>
      </c>
      <c r="E174" s="32"/>
      <c r="F174" s="32"/>
      <c r="G174" s="33"/>
      <c r="H174" s="32"/>
      <c r="I174" s="32"/>
      <c r="J174" s="32"/>
      <c r="K174" s="32">
        <v>1</v>
      </c>
      <c r="L174" s="32">
        <v>2000</v>
      </c>
      <c r="M174" s="32"/>
      <c r="N174" s="32">
        <v>50</v>
      </c>
      <c r="O174" s="32"/>
      <c r="P174" s="32"/>
    </row>
    <row r="175" spans="1:16" ht="22.5" customHeight="1" x14ac:dyDescent="0.35">
      <c r="A175" s="52"/>
      <c r="B175" s="37" t="s">
        <v>484</v>
      </c>
      <c r="C175" s="49" t="s">
        <v>1369</v>
      </c>
      <c r="D175" s="32">
        <v>12</v>
      </c>
      <c r="E175" s="32"/>
      <c r="F175" s="32"/>
      <c r="G175" s="33"/>
      <c r="H175" s="32"/>
      <c r="I175" s="32"/>
      <c r="J175" s="32"/>
      <c r="K175" s="32">
        <v>1</v>
      </c>
      <c r="L175" s="32">
        <v>1000</v>
      </c>
      <c r="M175" s="32"/>
      <c r="N175" s="32">
        <v>50</v>
      </c>
      <c r="O175" s="32"/>
      <c r="P175" s="32"/>
    </row>
    <row r="176" spans="1:16" ht="22.5" customHeight="1" x14ac:dyDescent="0.35">
      <c r="A176" s="52"/>
      <c r="B176" s="58" t="s">
        <v>485</v>
      </c>
      <c r="C176" s="49" t="s">
        <v>1370</v>
      </c>
      <c r="D176" s="32">
        <v>1</v>
      </c>
      <c r="E176" s="32"/>
      <c r="F176" s="32"/>
      <c r="G176" s="33"/>
      <c r="H176" s="32"/>
      <c r="I176" s="32"/>
      <c r="J176" s="32"/>
      <c r="K176" s="32"/>
      <c r="L176" s="32"/>
      <c r="M176" s="32"/>
      <c r="N176" s="32"/>
      <c r="O176" s="32"/>
      <c r="P176" s="32"/>
    </row>
    <row r="177" spans="1:16" ht="22.5" customHeight="1" x14ac:dyDescent="0.35">
      <c r="A177" s="52"/>
      <c r="B177" s="58" t="s">
        <v>486</v>
      </c>
      <c r="C177" s="49" t="s">
        <v>1371</v>
      </c>
      <c r="D177" s="32"/>
      <c r="E177" s="32"/>
      <c r="F177" s="32"/>
      <c r="G177" s="33"/>
      <c r="H177" s="32"/>
      <c r="I177" s="32"/>
      <c r="J177" s="32"/>
      <c r="K177" s="32"/>
      <c r="L177" s="32"/>
      <c r="M177" s="32"/>
      <c r="N177" s="32"/>
      <c r="O177" s="32"/>
      <c r="P177" s="32"/>
    </row>
    <row r="178" spans="1:16" ht="22.5" customHeight="1" x14ac:dyDescent="0.35">
      <c r="A178" s="52"/>
      <c r="B178" s="48" t="s">
        <v>487</v>
      </c>
      <c r="D178" s="32">
        <v>1</v>
      </c>
      <c r="E178" s="32"/>
      <c r="F178" s="32"/>
      <c r="G178" s="33"/>
      <c r="H178" s="32"/>
      <c r="I178" s="32"/>
      <c r="J178" s="32"/>
      <c r="K178" s="32"/>
      <c r="L178" s="32"/>
      <c r="M178" s="32"/>
      <c r="N178" s="32"/>
      <c r="O178" s="32"/>
      <c r="P178" s="32"/>
    </row>
    <row r="179" spans="1:16" ht="22.5" customHeight="1" x14ac:dyDescent="0.35">
      <c r="A179" s="52"/>
      <c r="B179" s="50" t="s">
        <v>488</v>
      </c>
      <c r="C179" s="49" t="s">
        <v>1372</v>
      </c>
      <c r="D179" s="32">
        <v>1</v>
      </c>
      <c r="E179" s="32">
        <v>4</v>
      </c>
      <c r="F179" s="32">
        <v>30</v>
      </c>
      <c r="G179" s="33"/>
      <c r="H179" s="32">
        <v>40000</v>
      </c>
      <c r="I179" s="32">
        <v>10</v>
      </c>
      <c r="J179" s="32"/>
      <c r="K179" s="32">
        <v>1</v>
      </c>
      <c r="L179" s="32">
        <v>10000</v>
      </c>
      <c r="M179" s="32">
        <v>300000</v>
      </c>
      <c r="N179" s="32">
        <v>40</v>
      </c>
      <c r="O179" s="32"/>
      <c r="P179" s="32">
        <v>15000</v>
      </c>
    </row>
    <row r="180" spans="1:16" ht="22.5" customHeight="1" x14ac:dyDescent="0.35">
      <c r="A180" s="52"/>
      <c r="B180" s="50" t="s">
        <v>489</v>
      </c>
      <c r="C180" s="49" t="s">
        <v>1373</v>
      </c>
      <c r="D180" s="32">
        <v>1</v>
      </c>
      <c r="E180" s="32"/>
      <c r="F180" s="32"/>
      <c r="G180" s="33"/>
      <c r="H180" s="32"/>
      <c r="I180" s="32"/>
      <c r="J180" s="32"/>
      <c r="K180" s="32"/>
      <c r="L180" s="32"/>
      <c r="M180" s="32"/>
      <c r="N180" s="32"/>
      <c r="O180" s="32"/>
      <c r="P180" s="32"/>
    </row>
    <row r="181" spans="1:16" ht="22.5" customHeight="1" x14ac:dyDescent="0.35">
      <c r="A181" s="52"/>
      <c r="B181" s="50" t="s">
        <v>490</v>
      </c>
      <c r="C181" s="49" t="s">
        <v>1374</v>
      </c>
      <c r="D181" s="32">
        <v>12</v>
      </c>
      <c r="E181" s="32"/>
      <c r="F181" s="32"/>
      <c r="G181" s="33"/>
      <c r="H181" s="32"/>
      <c r="I181" s="32"/>
      <c r="J181" s="32"/>
      <c r="K181" s="32">
        <v>10</v>
      </c>
      <c r="L181" s="32">
        <v>2000</v>
      </c>
      <c r="M181" s="32"/>
      <c r="N181" s="32">
        <v>3</v>
      </c>
      <c r="O181" s="32"/>
      <c r="P181" s="32"/>
    </row>
    <row r="182" spans="1:16" ht="22.5" customHeight="1" x14ac:dyDescent="0.35">
      <c r="A182" s="52"/>
      <c r="B182" s="50" t="s">
        <v>491</v>
      </c>
      <c r="C182" s="49" t="s">
        <v>1375</v>
      </c>
      <c r="D182" s="32">
        <v>1</v>
      </c>
      <c r="E182" s="32"/>
      <c r="F182" s="32"/>
      <c r="G182" s="33"/>
      <c r="H182" s="32"/>
      <c r="I182" s="32"/>
      <c r="J182" s="32"/>
      <c r="K182" s="32"/>
      <c r="L182" s="32"/>
      <c r="M182" s="32"/>
      <c r="N182" s="32"/>
      <c r="O182" s="32"/>
      <c r="P182" s="32"/>
    </row>
    <row r="183" spans="1:16" ht="22.5" customHeight="1" x14ac:dyDescent="0.35">
      <c r="A183" s="52"/>
      <c r="B183" s="50" t="s">
        <v>492</v>
      </c>
      <c r="C183" s="49" t="s">
        <v>1376</v>
      </c>
      <c r="D183" s="32">
        <v>1</v>
      </c>
      <c r="E183" s="32"/>
      <c r="F183" s="32"/>
      <c r="G183" s="33"/>
      <c r="H183" s="32"/>
      <c r="I183" s="32"/>
      <c r="J183" s="32"/>
      <c r="K183" s="32"/>
      <c r="L183" s="32"/>
      <c r="M183" s="32"/>
      <c r="N183" s="32"/>
      <c r="O183" s="32"/>
      <c r="P183" s="32"/>
    </row>
    <row r="184" spans="1:16" ht="22.5" customHeight="1" x14ac:dyDescent="0.35">
      <c r="A184" s="52"/>
      <c r="B184" s="50" t="s">
        <v>493</v>
      </c>
      <c r="C184" s="49" t="s">
        <v>1377</v>
      </c>
      <c r="D184" s="32">
        <v>1</v>
      </c>
      <c r="E184" s="32"/>
      <c r="F184" s="32"/>
      <c r="G184" s="33"/>
      <c r="H184" s="32"/>
      <c r="I184" s="32"/>
      <c r="J184" s="32"/>
      <c r="K184" s="32"/>
      <c r="L184" s="32"/>
      <c r="M184" s="32"/>
      <c r="N184" s="32"/>
      <c r="O184" s="32"/>
      <c r="P184" s="32"/>
    </row>
    <row r="185" spans="1:16" ht="22.5" customHeight="1" x14ac:dyDescent="0.35">
      <c r="A185" s="52"/>
      <c r="B185" s="37" t="s">
        <v>494</v>
      </c>
      <c r="C185" s="49" t="s">
        <v>1378</v>
      </c>
      <c r="D185" s="32"/>
      <c r="E185" s="32"/>
      <c r="F185" s="32"/>
      <c r="G185" s="33"/>
      <c r="H185" s="32"/>
      <c r="I185" s="32"/>
      <c r="J185" s="32"/>
      <c r="K185" s="32"/>
      <c r="L185" s="32"/>
      <c r="M185" s="32"/>
      <c r="N185" s="32"/>
      <c r="O185" s="32"/>
      <c r="P185" s="32"/>
    </row>
    <row r="186" spans="1:16" ht="22.5" customHeight="1" x14ac:dyDescent="0.35">
      <c r="A186" s="52"/>
      <c r="B186" s="48" t="s">
        <v>90</v>
      </c>
      <c r="D186" s="32">
        <v>1</v>
      </c>
      <c r="E186" s="32"/>
      <c r="F186" s="32"/>
      <c r="G186" s="33"/>
      <c r="H186" s="32"/>
      <c r="I186" s="32"/>
      <c r="J186" s="32"/>
      <c r="K186" s="32"/>
      <c r="L186" s="32"/>
      <c r="M186" s="32"/>
      <c r="N186" s="32"/>
      <c r="O186" s="32"/>
      <c r="P186" s="32"/>
    </row>
    <row r="187" spans="1:16" ht="22.5" customHeight="1" x14ac:dyDescent="0.35">
      <c r="A187" s="52"/>
      <c r="B187" s="37" t="s">
        <v>495</v>
      </c>
      <c r="C187" s="49" t="s">
        <v>1379</v>
      </c>
      <c r="D187" s="32">
        <v>1</v>
      </c>
      <c r="E187" s="32"/>
      <c r="F187" s="32"/>
      <c r="G187" s="33"/>
      <c r="H187" s="32"/>
      <c r="I187" s="32"/>
      <c r="J187" s="32"/>
      <c r="K187" s="32"/>
      <c r="L187" s="32"/>
      <c r="M187" s="32"/>
      <c r="N187" s="32"/>
      <c r="O187" s="32"/>
      <c r="P187" s="32"/>
    </row>
    <row r="188" spans="1:16" ht="22.5" customHeight="1" x14ac:dyDescent="0.35">
      <c r="A188" s="52"/>
      <c r="B188" s="37" t="s">
        <v>496</v>
      </c>
      <c r="C188" s="49" t="s">
        <v>1380</v>
      </c>
      <c r="D188" s="32">
        <v>1</v>
      </c>
      <c r="E188" s="32"/>
      <c r="F188" s="32"/>
      <c r="G188" s="33"/>
      <c r="H188" s="32"/>
      <c r="I188" s="32"/>
      <c r="J188" s="32"/>
      <c r="K188" s="32"/>
      <c r="L188" s="32"/>
      <c r="M188" s="32"/>
      <c r="N188" s="32"/>
      <c r="O188" s="32"/>
      <c r="P188" s="32"/>
    </row>
    <row r="189" spans="1:16" ht="22.5" customHeight="1" x14ac:dyDescent="0.35">
      <c r="A189" s="52"/>
      <c r="B189" s="37" t="s">
        <v>497</v>
      </c>
      <c r="C189" s="49" t="s">
        <v>1381</v>
      </c>
      <c r="D189" s="32">
        <v>12</v>
      </c>
      <c r="E189" s="32"/>
      <c r="F189" s="32"/>
      <c r="G189" s="33"/>
      <c r="H189" s="32"/>
      <c r="I189" s="32">
        <v>10</v>
      </c>
      <c r="J189" s="32"/>
      <c r="K189" s="32">
        <v>1</v>
      </c>
      <c r="L189" s="32">
        <v>2000</v>
      </c>
      <c r="M189" s="32"/>
      <c r="N189" s="32">
        <v>10</v>
      </c>
      <c r="O189" s="32"/>
      <c r="P189" s="32"/>
    </row>
    <row r="190" spans="1:16" ht="22.5" customHeight="1" x14ac:dyDescent="0.35">
      <c r="A190" s="52"/>
      <c r="B190" s="50" t="s">
        <v>498</v>
      </c>
      <c r="C190" s="49" t="s">
        <v>1382</v>
      </c>
      <c r="D190" s="32"/>
      <c r="E190" s="32"/>
      <c r="F190" s="32"/>
      <c r="G190" s="33"/>
      <c r="H190" s="32"/>
      <c r="I190" s="32"/>
      <c r="J190" s="32"/>
      <c r="K190" s="32"/>
      <c r="L190" s="32"/>
      <c r="M190" s="32"/>
      <c r="N190" s="32"/>
      <c r="O190" s="32"/>
      <c r="P190" s="32"/>
    </row>
    <row r="191" spans="1:16" ht="22.5" customHeight="1" x14ac:dyDescent="0.35">
      <c r="A191" s="52"/>
      <c r="B191" s="48" t="s">
        <v>92</v>
      </c>
      <c r="D191" s="32">
        <v>1</v>
      </c>
      <c r="E191" s="32"/>
      <c r="F191" s="32"/>
      <c r="G191" s="33"/>
      <c r="H191" s="32"/>
      <c r="I191" s="32"/>
      <c r="J191" s="32"/>
      <c r="K191" s="32"/>
      <c r="L191" s="32"/>
      <c r="M191" s="32"/>
      <c r="N191" s="32"/>
      <c r="O191" s="32"/>
      <c r="P191" s="32"/>
    </row>
    <row r="192" spans="1:16" ht="22.5" customHeight="1" x14ac:dyDescent="0.35">
      <c r="A192" s="52"/>
      <c r="B192" s="50" t="s">
        <v>499</v>
      </c>
      <c r="C192" s="49" t="s">
        <v>1383</v>
      </c>
      <c r="D192" s="32">
        <v>1</v>
      </c>
      <c r="E192" s="32"/>
      <c r="F192" s="32"/>
      <c r="G192" s="33"/>
      <c r="H192" s="32"/>
      <c r="I192" s="32"/>
      <c r="J192" s="32"/>
      <c r="K192" s="32"/>
      <c r="L192" s="32"/>
      <c r="M192" s="32"/>
      <c r="N192" s="32"/>
      <c r="O192" s="32"/>
      <c r="P192" s="32"/>
    </row>
    <row r="193" spans="1:16" ht="22.5" customHeight="1" x14ac:dyDescent="0.35">
      <c r="A193" s="52"/>
      <c r="B193" s="50" t="s">
        <v>500</v>
      </c>
      <c r="C193" s="49" t="s">
        <v>1384</v>
      </c>
      <c r="D193" s="32">
        <v>1</v>
      </c>
      <c r="E193" s="32"/>
      <c r="F193" s="32"/>
      <c r="G193" s="33"/>
      <c r="H193" s="32"/>
      <c r="I193" s="32"/>
      <c r="J193" s="32"/>
      <c r="K193" s="32"/>
      <c r="L193" s="32"/>
      <c r="M193" s="32"/>
      <c r="N193" s="32"/>
      <c r="O193" s="32"/>
      <c r="P193" s="32"/>
    </row>
    <row r="194" spans="1:16" ht="22.5" customHeight="1" x14ac:dyDescent="0.35">
      <c r="A194" s="52"/>
      <c r="B194" s="50" t="s">
        <v>501</v>
      </c>
      <c r="C194" s="49" t="s">
        <v>1385</v>
      </c>
      <c r="D194" s="32">
        <v>1</v>
      </c>
      <c r="E194" s="32"/>
      <c r="F194" s="32"/>
      <c r="G194" s="33"/>
      <c r="H194" s="32"/>
      <c r="I194" s="32"/>
      <c r="J194" s="32"/>
      <c r="K194" s="32"/>
      <c r="L194" s="32"/>
      <c r="M194" s="32"/>
      <c r="N194" s="32"/>
      <c r="O194" s="32"/>
      <c r="P194" s="32"/>
    </row>
    <row r="195" spans="1:16" ht="22.5" customHeight="1" x14ac:dyDescent="0.35">
      <c r="A195" s="52"/>
      <c r="B195" s="50" t="s">
        <v>502</v>
      </c>
      <c r="C195" s="49" t="s">
        <v>1386</v>
      </c>
      <c r="D195" s="32"/>
      <c r="E195" s="32"/>
      <c r="F195" s="32"/>
      <c r="G195" s="33"/>
      <c r="H195" s="32"/>
      <c r="I195" s="32"/>
      <c r="J195" s="32"/>
      <c r="K195" s="32"/>
      <c r="L195" s="32"/>
      <c r="M195" s="32"/>
      <c r="N195" s="32"/>
      <c r="O195" s="32"/>
      <c r="P195" s="32"/>
    </row>
    <row r="196" spans="1:16" ht="22.5" customHeight="1" x14ac:dyDescent="0.35">
      <c r="A196" s="52"/>
      <c r="B196" s="48" t="s">
        <v>503</v>
      </c>
      <c r="D196" s="32">
        <v>1</v>
      </c>
      <c r="E196" s="32"/>
      <c r="F196" s="32"/>
      <c r="G196" s="33"/>
      <c r="H196" s="32"/>
      <c r="I196" s="32"/>
      <c r="J196" s="32"/>
      <c r="K196" s="32"/>
      <c r="L196" s="32"/>
      <c r="M196" s="32"/>
      <c r="N196" s="32"/>
      <c r="O196" s="32"/>
      <c r="P196" s="32"/>
    </row>
    <row r="197" spans="1:16" ht="22.5" customHeight="1" x14ac:dyDescent="0.35">
      <c r="A197" s="52"/>
      <c r="B197" s="50" t="s">
        <v>504</v>
      </c>
      <c r="C197" s="49" t="s">
        <v>1387</v>
      </c>
      <c r="D197" s="32">
        <v>1</v>
      </c>
      <c r="E197" s="32"/>
      <c r="F197" s="32"/>
      <c r="G197" s="33"/>
      <c r="H197" s="32"/>
      <c r="I197" s="32"/>
      <c r="J197" s="32"/>
      <c r="K197" s="32"/>
      <c r="L197" s="32"/>
      <c r="M197" s="32"/>
      <c r="N197" s="32"/>
      <c r="O197" s="32"/>
      <c r="P197" s="32"/>
    </row>
    <row r="198" spans="1:16" ht="22.5" customHeight="1" x14ac:dyDescent="0.35">
      <c r="A198" s="52"/>
      <c r="B198" s="50" t="s">
        <v>505</v>
      </c>
      <c r="C198" s="49" t="s">
        <v>1388</v>
      </c>
      <c r="D198" s="32">
        <v>1</v>
      </c>
      <c r="E198" s="32"/>
      <c r="F198" s="32"/>
      <c r="G198" s="33"/>
      <c r="H198" s="32"/>
      <c r="I198" s="32"/>
      <c r="J198" s="32"/>
      <c r="K198" s="32"/>
      <c r="L198" s="32"/>
      <c r="M198" s="32"/>
      <c r="N198" s="32"/>
      <c r="O198" s="32"/>
      <c r="P198" s="32"/>
    </row>
    <row r="199" spans="1:16" ht="22.5" customHeight="1" x14ac:dyDescent="0.35">
      <c r="A199" s="52"/>
      <c r="B199" s="50" t="s">
        <v>506</v>
      </c>
      <c r="C199" s="49" t="s">
        <v>1389</v>
      </c>
      <c r="D199" s="32">
        <v>1</v>
      </c>
      <c r="E199" s="32"/>
      <c r="F199" s="32"/>
      <c r="G199" s="33"/>
      <c r="H199" s="32"/>
      <c r="I199" s="32"/>
      <c r="J199" s="32"/>
      <c r="K199" s="32"/>
      <c r="L199" s="32"/>
      <c r="M199" s="32"/>
      <c r="N199" s="32"/>
      <c r="O199" s="32"/>
      <c r="P199" s="32"/>
    </row>
    <row r="200" spans="1:16" ht="22.5" customHeight="1" x14ac:dyDescent="0.35">
      <c r="A200" s="52"/>
      <c r="B200" s="50" t="s">
        <v>507</v>
      </c>
      <c r="C200" s="49" t="s">
        <v>1390</v>
      </c>
      <c r="D200" s="32"/>
      <c r="E200" s="32"/>
      <c r="F200" s="32"/>
      <c r="G200" s="33"/>
      <c r="H200" s="32"/>
      <c r="I200" s="32"/>
      <c r="J200" s="32"/>
      <c r="K200" s="32"/>
      <c r="L200" s="32"/>
      <c r="M200" s="32"/>
      <c r="N200" s="32"/>
      <c r="O200" s="32"/>
      <c r="P200" s="32"/>
    </row>
    <row r="201" spans="1:16" ht="22.5" customHeight="1" x14ac:dyDescent="0.35">
      <c r="A201" s="52"/>
      <c r="B201" s="48" t="s">
        <v>95</v>
      </c>
      <c r="C201" s="61" t="s">
        <v>508</v>
      </c>
      <c r="D201" s="32">
        <v>1</v>
      </c>
      <c r="E201" s="32">
        <v>4</v>
      </c>
      <c r="F201" s="32">
        <v>50</v>
      </c>
      <c r="G201" s="33"/>
      <c r="H201" s="32">
        <v>40000</v>
      </c>
      <c r="I201" s="32">
        <v>15</v>
      </c>
      <c r="J201" s="32"/>
      <c r="K201" s="32">
        <v>2</v>
      </c>
      <c r="L201" s="32">
        <v>10000</v>
      </c>
      <c r="M201" s="32">
        <v>300000</v>
      </c>
      <c r="N201" s="32">
        <v>65</v>
      </c>
      <c r="O201" s="32">
        <v>2500</v>
      </c>
      <c r="P201" s="32">
        <v>15000</v>
      </c>
    </row>
    <row r="202" spans="1:16" ht="22.5" customHeight="1" x14ac:dyDescent="0.35">
      <c r="A202" s="52"/>
      <c r="B202" s="50" t="s">
        <v>509</v>
      </c>
      <c r="C202" s="54" t="s">
        <v>510</v>
      </c>
      <c r="D202" s="32">
        <v>1</v>
      </c>
      <c r="E202" s="32"/>
      <c r="F202" s="32"/>
      <c r="G202" s="33"/>
      <c r="H202" s="32"/>
      <c r="I202" s="32"/>
      <c r="J202" s="32"/>
      <c r="K202" s="32"/>
      <c r="L202" s="32"/>
      <c r="M202" s="32"/>
      <c r="N202" s="32"/>
      <c r="O202" s="32"/>
      <c r="P202" s="32"/>
    </row>
    <row r="203" spans="1:16" ht="22.5" customHeight="1" x14ac:dyDescent="0.35">
      <c r="A203" s="52"/>
      <c r="B203" s="37" t="s">
        <v>511</v>
      </c>
      <c r="C203" s="54" t="s">
        <v>512</v>
      </c>
      <c r="D203" s="32">
        <v>1</v>
      </c>
      <c r="E203" s="32"/>
      <c r="F203" s="32"/>
      <c r="G203" s="33"/>
      <c r="H203" s="32"/>
      <c r="I203" s="32"/>
      <c r="J203" s="32"/>
      <c r="K203" s="32"/>
      <c r="L203" s="32"/>
      <c r="M203" s="32"/>
      <c r="N203" s="32"/>
      <c r="O203" s="32"/>
      <c r="P203" s="32"/>
    </row>
    <row r="204" spans="1:16" ht="22.5" customHeight="1" x14ac:dyDescent="0.35">
      <c r="A204" s="52"/>
      <c r="B204" s="37" t="s">
        <v>513</v>
      </c>
      <c r="C204" s="54" t="s">
        <v>514</v>
      </c>
      <c r="D204" s="32">
        <v>1</v>
      </c>
      <c r="E204" s="32"/>
      <c r="F204" s="32"/>
      <c r="G204" s="33"/>
      <c r="H204" s="32"/>
      <c r="I204" s="32"/>
      <c r="J204" s="32"/>
      <c r="K204" s="32"/>
      <c r="L204" s="32"/>
      <c r="M204" s="32"/>
      <c r="N204" s="32"/>
      <c r="O204" s="32"/>
      <c r="P204" s="32"/>
    </row>
    <row r="205" spans="1:16" ht="22.5" customHeight="1" x14ac:dyDescent="0.35">
      <c r="A205" s="52"/>
      <c r="B205" s="37" t="s">
        <v>515</v>
      </c>
      <c r="C205" s="54" t="s">
        <v>516</v>
      </c>
      <c r="D205" s="32">
        <v>1</v>
      </c>
      <c r="E205" s="32"/>
      <c r="F205" s="32"/>
      <c r="G205" s="33"/>
      <c r="H205" s="32"/>
      <c r="I205" s="32"/>
      <c r="J205" s="32"/>
      <c r="K205" s="32"/>
      <c r="L205" s="32"/>
      <c r="M205" s="32"/>
      <c r="N205" s="32"/>
      <c r="O205" s="32"/>
      <c r="P205" s="32"/>
    </row>
    <row r="206" spans="1:16" ht="22.5" customHeight="1" x14ac:dyDescent="0.35">
      <c r="A206" s="52"/>
      <c r="B206" s="37" t="s">
        <v>517</v>
      </c>
      <c r="C206" s="54" t="s">
        <v>518</v>
      </c>
      <c r="D206" s="32"/>
      <c r="E206" s="32"/>
      <c r="F206" s="32"/>
      <c r="G206" s="33"/>
      <c r="H206" s="32"/>
      <c r="I206" s="32"/>
      <c r="J206" s="32"/>
      <c r="K206" s="32"/>
      <c r="L206" s="32"/>
      <c r="M206" s="32"/>
      <c r="N206" s="32"/>
      <c r="O206" s="32"/>
      <c r="P206" s="32"/>
    </row>
    <row r="207" spans="1:16" ht="22.5" customHeight="1" x14ac:dyDescent="0.35">
      <c r="A207" s="52"/>
      <c r="B207" s="48" t="s">
        <v>97</v>
      </c>
      <c r="C207" s="62"/>
      <c r="D207" s="32">
        <v>1</v>
      </c>
      <c r="E207" s="32"/>
      <c r="F207" s="32"/>
      <c r="G207" s="33"/>
      <c r="H207" s="32"/>
      <c r="I207" s="32"/>
      <c r="J207" s="32"/>
      <c r="K207" s="32"/>
      <c r="L207" s="32"/>
      <c r="M207" s="32"/>
      <c r="N207" s="32"/>
      <c r="O207" s="32"/>
      <c r="P207" s="32"/>
    </row>
    <row r="208" spans="1:16" ht="22.5" customHeight="1" x14ac:dyDescent="0.35">
      <c r="A208" s="52"/>
      <c r="B208" s="37" t="s">
        <v>519</v>
      </c>
      <c r="C208" s="54" t="s">
        <v>520</v>
      </c>
      <c r="D208" s="32">
        <v>1</v>
      </c>
      <c r="E208" s="32"/>
      <c r="F208" s="32"/>
      <c r="G208" s="33"/>
      <c r="H208" s="32"/>
      <c r="I208" s="32"/>
      <c r="J208" s="32"/>
      <c r="K208" s="32"/>
      <c r="L208" s="32"/>
      <c r="M208" s="32"/>
      <c r="N208" s="32"/>
      <c r="O208" s="32"/>
      <c r="P208" s="32"/>
    </row>
    <row r="209" spans="1:16" ht="22.5" customHeight="1" x14ac:dyDescent="0.35">
      <c r="A209" s="52"/>
      <c r="B209" s="37" t="s">
        <v>521</v>
      </c>
      <c r="C209" s="54" t="s">
        <v>522</v>
      </c>
      <c r="D209" s="32">
        <v>1</v>
      </c>
      <c r="E209" s="32"/>
      <c r="F209" s="32"/>
      <c r="G209" s="33"/>
      <c r="H209" s="32"/>
      <c r="I209" s="32"/>
      <c r="J209" s="32"/>
      <c r="K209" s="32"/>
      <c r="L209" s="32"/>
      <c r="M209" s="32"/>
      <c r="N209" s="32"/>
      <c r="O209" s="32"/>
      <c r="P209" s="32"/>
    </row>
    <row r="210" spans="1:16" ht="22.5" customHeight="1" x14ac:dyDescent="0.35">
      <c r="A210" s="52"/>
      <c r="B210" s="37" t="s">
        <v>523</v>
      </c>
      <c r="C210" s="54" t="s">
        <v>524</v>
      </c>
      <c r="D210" s="32">
        <v>12</v>
      </c>
      <c r="E210" s="32"/>
      <c r="F210" s="32"/>
      <c r="G210" s="33"/>
      <c r="H210" s="32"/>
      <c r="I210" s="32"/>
      <c r="J210" s="32"/>
      <c r="K210" s="32">
        <v>1</v>
      </c>
      <c r="L210" s="32"/>
      <c r="M210" s="32"/>
      <c r="N210" s="32">
        <v>20</v>
      </c>
      <c r="O210" s="32">
        <v>15000</v>
      </c>
      <c r="P210" s="32"/>
    </row>
    <row r="211" spans="1:16" ht="22.5" customHeight="1" x14ac:dyDescent="0.35">
      <c r="A211" s="52"/>
      <c r="B211" s="37" t="s">
        <v>525</v>
      </c>
      <c r="C211" s="54" t="s">
        <v>526</v>
      </c>
      <c r="D211" s="32"/>
      <c r="E211" s="32"/>
      <c r="F211" s="32"/>
      <c r="G211" s="33"/>
      <c r="H211" s="32"/>
      <c r="I211" s="32"/>
      <c r="J211" s="32"/>
      <c r="K211" s="32"/>
      <c r="L211" s="32"/>
      <c r="M211" s="32"/>
      <c r="N211" s="32"/>
      <c r="O211" s="32"/>
      <c r="P211" s="32"/>
    </row>
    <row r="212" spans="1:16" ht="22.5" customHeight="1" x14ac:dyDescent="0.35">
      <c r="A212" s="55" t="s">
        <v>1</v>
      </c>
      <c r="B212" s="45" t="s">
        <v>51</v>
      </c>
      <c r="C212" s="32"/>
      <c r="D212" s="32"/>
      <c r="E212" s="32"/>
      <c r="F212" s="32"/>
      <c r="G212" s="33"/>
      <c r="H212" s="32"/>
      <c r="I212" s="32"/>
      <c r="J212" s="32"/>
      <c r="K212" s="32"/>
      <c r="L212" s="32"/>
      <c r="M212" s="32"/>
      <c r="N212" s="32"/>
      <c r="O212" s="32"/>
      <c r="P212" s="32"/>
    </row>
    <row r="213" spans="1:16" ht="22.5" customHeight="1" x14ac:dyDescent="0.35">
      <c r="A213" s="47" t="s">
        <v>4</v>
      </c>
      <c r="B213" s="48" t="s">
        <v>100</v>
      </c>
      <c r="C213" s="49"/>
      <c r="D213" s="32">
        <v>2</v>
      </c>
      <c r="E213" s="32">
        <v>4</v>
      </c>
      <c r="F213" s="32">
        <v>20</v>
      </c>
      <c r="G213" s="33"/>
      <c r="H213" s="32">
        <v>40000</v>
      </c>
      <c r="I213" s="32">
        <v>10</v>
      </c>
      <c r="J213" s="32"/>
      <c r="K213" s="32">
        <v>1</v>
      </c>
      <c r="L213" s="32">
        <v>10000</v>
      </c>
      <c r="M213" s="32">
        <v>300000</v>
      </c>
      <c r="N213" s="32">
        <v>40</v>
      </c>
      <c r="O213" s="32">
        <v>2500</v>
      </c>
      <c r="P213" s="32">
        <v>15000</v>
      </c>
    </row>
    <row r="214" spans="1:16" ht="22.5" customHeight="1" x14ac:dyDescent="0.35">
      <c r="A214" s="52"/>
      <c r="B214" s="37" t="s">
        <v>527</v>
      </c>
      <c r="C214" s="49" t="s">
        <v>1391</v>
      </c>
      <c r="D214" s="32">
        <v>1</v>
      </c>
      <c r="E214" s="32"/>
      <c r="F214" s="32"/>
      <c r="G214" s="33"/>
      <c r="H214" s="32"/>
      <c r="I214" s="32"/>
      <c r="J214" s="32"/>
      <c r="K214" s="32"/>
      <c r="L214" s="32"/>
      <c r="M214" s="32"/>
      <c r="N214" s="32"/>
      <c r="O214" s="32"/>
      <c r="P214" s="32"/>
    </row>
    <row r="215" spans="1:16" ht="22.5" customHeight="1" x14ac:dyDescent="0.35">
      <c r="A215" s="52"/>
      <c r="B215" s="37" t="s">
        <v>528</v>
      </c>
      <c r="C215" s="49" t="s">
        <v>1392</v>
      </c>
      <c r="D215" s="32">
        <v>1</v>
      </c>
      <c r="E215" s="32"/>
      <c r="F215" s="32"/>
      <c r="G215" s="33"/>
      <c r="H215" s="32"/>
      <c r="I215" s="32"/>
      <c r="J215" s="32"/>
      <c r="K215" s="32"/>
      <c r="L215" s="32"/>
      <c r="M215" s="32"/>
      <c r="N215" s="32"/>
      <c r="O215" s="32"/>
      <c r="P215" s="32"/>
    </row>
    <row r="216" spans="1:16" ht="22.5" customHeight="1" x14ac:dyDescent="0.35">
      <c r="A216" s="52"/>
      <c r="B216" s="37" t="s">
        <v>529</v>
      </c>
      <c r="C216" s="49" t="s">
        <v>1393</v>
      </c>
      <c r="D216" s="32">
        <v>1</v>
      </c>
      <c r="E216" s="32"/>
      <c r="F216" s="32"/>
      <c r="G216" s="33"/>
      <c r="H216" s="32"/>
      <c r="I216" s="32"/>
      <c r="J216" s="32"/>
      <c r="K216" s="32"/>
      <c r="L216" s="32"/>
      <c r="M216" s="32"/>
      <c r="N216" s="32"/>
      <c r="O216" s="32"/>
      <c r="P216" s="32"/>
    </row>
    <row r="217" spans="1:16" ht="22.5" customHeight="1" x14ac:dyDescent="0.35">
      <c r="A217" s="52"/>
      <c r="B217" s="37" t="s">
        <v>530</v>
      </c>
      <c r="C217" s="49" t="s">
        <v>1394</v>
      </c>
      <c r="D217" s="32">
        <v>1</v>
      </c>
      <c r="E217" s="32"/>
      <c r="F217" s="32"/>
      <c r="G217" s="33"/>
      <c r="H217" s="32"/>
      <c r="I217" s="32"/>
      <c r="J217" s="32"/>
      <c r="K217" s="32"/>
      <c r="L217" s="32"/>
      <c r="M217" s="32"/>
      <c r="N217" s="32"/>
      <c r="O217" s="32"/>
      <c r="P217" s="32"/>
    </row>
    <row r="218" spans="1:16" ht="22.5" customHeight="1" x14ac:dyDescent="0.35">
      <c r="A218" s="52"/>
      <c r="B218" s="37" t="s">
        <v>531</v>
      </c>
      <c r="C218" s="49" t="s">
        <v>1395</v>
      </c>
      <c r="D218" s="32">
        <v>1</v>
      </c>
      <c r="E218" s="32"/>
      <c r="F218" s="32"/>
      <c r="G218" s="33"/>
      <c r="H218" s="32"/>
      <c r="I218" s="32"/>
      <c r="J218" s="32"/>
      <c r="K218" s="32"/>
      <c r="L218" s="32"/>
      <c r="M218" s="32"/>
      <c r="N218" s="32"/>
      <c r="O218" s="32"/>
      <c r="P218" s="32"/>
    </row>
    <row r="219" spans="1:16" ht="22.5" customHeight="1" x14ac:dyDescent="0.35">
      <c r="A219" s="52"/>
      <c r="B219" s="37" t="s">
        <v>532</v>
      </c>
      <c r="C219" s="49" t="s">
        <v>1396</v>
      </c>
      <c r="D219" s="32"/>
      <c r="E219" s="32"/>
      <c r="F219" s="32"/>
      <c r="G219" s="33"/>
      <c r="H219" s="32"/>
      <c r="I219" s="32"/>
      <c r="J219" s="32"/>
      <c r="K219" s="32"/>
      <c r="L219" s="32"/>
      <c r="M219" s="32"/>
      <c r="N219" s="32"/>
      <c r="O219" s="32"/>
      <c r="P219" s="32"/>
    </row>
    <row r="220" spans="1:16" ht="22.5" customHeight="1" x14ac:dyDescent="0.35">
      <c r="A220" s="52"/>
      <c r="B220" s="48" t="s">
        <v>101</v>
      </c>
      <c r="D220" s="32">
        <v>1</v>
      </c>
      <c r="E220" s="32"/>
      <c r="F220" s="32"/>
      <c r="G220" s="33"/>
      <c r="H220" s="32"/>
      <c r="I220" s="32"/>
      <c r="J220" s="32"/>
      <c r="K220" s="32"/>
      <c r="L220" s="32"/>
      <c r="M220" s="32"/>
      <c r="N220" s="32"/>
      <c r="O220" s="32"/>
      <c r="P220" s="32"/>
    </row>
    <row r="221" spans="1:16" ht="22.5" customHeight="1" x14ac:dyDescent="0.35">
      <c r="A221" s="52"/>
      <c r="B221" s="37" t="s">
        <v>533</v>
      </c>
      <c r="C221" s="49" t="s">
        <v>1397</v>
      </c>
      <c r="D221" s="32">
        <v>1</v>
      </c>
      <c r="E221" s="32"/>
      <c r="F221" s="32"/>
      <c r="G221" s="33"/>
      <c r="H221" s="32"/>
      <c r="I221" s="32"/>
      <c r="J221" s="32"/>
      <c r="K221" s="32"/>
      <c r="L221" s="32"/>
      <c r="M221" s="32"/>
      <c r="N221" s="32"/>
      <c r="O221" s="32"/>
      <c r="P221" s="32"/>
    </row>
    <row r="222" spans="1:16" ht="22.5" customHeight="1" x14ac:dyDescent="0.35">
      <c r="A222" s="52"/>
      <c r="B222" s="37" t="s">
        <v>534</v>
      </c>
      <c r="C222" s="49" t="s">
        <v>1398</v>
      </c>
      <c r="D222" s="32">
        <v>1</v>
      </c>
      <c r="E222" s="32"/>
      <c r="F222" s="32"/>
      <c r="G222" s="33"/>
      <c r="H222" s="32"/>
      <c r="I222" s="32"/>
      <c r="J222" s="32"/>
      <c r="K222" s="32"/>
      <c r="L222" s="32"/>
      <c r="M222" s="32"/>
      <c r="N222" s="32"/>
      <c r="O222" s="32"/>
      <c r="P222" s="32"/>
    </row>
    <row r="223" spans="1:16" ht="22.5" customHeight="1" x14ac:dyDescent="0.35">
      <c r="A223" s="52"/>
      <c r="B223" s="37" t="s">
        <v>535</v>
      </c>
      <c r="C223" s="49" t="s">
        <v>1399</v>
      </c>
      <c r="D223" s="32">
        <v>1</v>
      </c>
      <c r="E223" s="32"/>
      <c r="F223" s="32"/>
      <c r="G223" s="33"/>
      <c r="H223" s="32"/>
      <c r="I223" s="32"/>
      <c r="J223" s="32"/>
      <c r="K223" s="32"/>
      <c r="L223" s="32"/>
      <c r="M223" s="32"/>
      <c r="N223" s="32"/>
      <c r="O223" s="32"/>
      <c r="P223" s="32"/>
    </row>
    <row r="224" spans="1:16" ht="22.5" customHeight="1" x14ac:dyDescent="0.35">
      <c r="A224" s="52"/>
      <c r="B224" s="37" t="s">
        <v>536</v>
      </c>
      <c r="C224" s="49" t="s">
        <v>1400</v>
      </c>
      <c r="D224" s="32">
        <v>1</v>
      </c>
      <c r="E224" s="32"/>
      <c r="F224" s="32"/>
      <c r="G224" s="33"/>
      <c r="H224" s="32"/>
      <c r="I224" s="32"/>
      <c r="J224" s="32"/>
      <c r="K224" s="32"/>
      <c r="L224" s="32"/>
      <c r="M224" s="32"/>
      <c r="N224" s="32"/>
      <c r="O224" s="32"/>
      <c r="P224" s="32"/>
    </row>
    <row r="225" spans="1:16" ht="22.5" customHeight="1" x14ac:dyDescent="0.35">
      <c r="A225" s="52"/>
      <c r="B225" s="37" t="s">
        <v>537</v>
      </c>
      <c r="C225" s="49" t="s">
        <v>1401</v>
      </c>
      <c r="D225" s="32">
        <v>1</v>
      </c>
      <c r="E225" s="32"/>
      <c r="F225" s="32"/>
      <c r="G225" s="33"/>
      <c r="H225" s="32"/>
      <c r="I225" s="32"/>
      <c r="J225" s="32"/>
      <c r="K225" s="32"/>
      <c r="L225" s="32"/>
      <c r="M225" s="32"/>
      <c r="N225" s="32"/>
      <c r="O225" s="32"/>
      <c r="P225" s="32"/>
    </row>
    <row r="226" spans="1:16" ht="22.5" customHeight="1" x14ac:dyDescent="0.35">
      <c r="A226" s="52"/>
      <c r="B226" s="37" t="s">
        <v>538</v>
      </c>
      <c r="C226" s="49" t="s">
        <v>1402</v>
      </c>
      <c r="D226" s="32"/>
      <c r="E226" s="32"/>
      <c r="F226" s="32"/>
      <c r="G226" s="33"/>
      <c r="H226" s="32"/>
      <c r="I226" s="32"/>
      <c r="J226" s="32"/>
      <c r="K226" s="32"/>
      <c r="L226" s="32"/>
      <c r="M226" s="32"/>
      <c r="N226" s="32"/>
      <c r="O226" s="32"/>
      <c r="P226" s="32"/>
    </row>
    <row r="227" spans="1:16" ht="22.5" customHeight="1" x14ac:dyDescent="0.35">
      <c r="A227" s="55" t="s">
        <v>1</v>
      </c>
      <c r="B227" s="45" t="s">
        <v>539</v>
      </c>
      <c r="C227" s="32"/>
      <c r="D227" s="32"/>
      <c r="E227" s="32"/>
      <c r="F227" s="32"/>
      <c r="G227" s="33"/>
      <c r="H227" s="32"/>
      <c r="I227" s="32"/>
      <c r="J227" s="32"/>
      <c r="K227" s="32"/>
      <c r="L227" s="32"/>
      <c r="M227" s="32"/>
      <c r="N227" s="32"/>
      <c r="O227" s="32"/>
      <c r="P227" s="32"/>
    </row>
    <row r="228" spans="1:16" ht="22.5" customHeight="1" x14ac:dyDescent="0.35">
      <c r="A228" s="47" t="s">
        <v>4</v>
      </c>
      <c r="B228" s="48" t="s">
        <v>104</v>
      </c>
      <c r="D228" s="32">
        <v>2</v>
      </c>
      <c r="E228" s="32">
        <v>4</v>
      </c>
      <c r="F228" s="32">
        <v>20</v>
      </c>
      <c r="G228" s="33"/>
      <c r="H228" s="32">
        <v>40000</v>
      </c>
      <c r="I228" s="32">
        <v>10</v>
      </c>
      <c r="J228" s="32"/>
      <c r="K228" s="32">
        <v>1</v>
      </c>
      <c r="L228" s="32">
        <v>10000</v>
      </c>
      <c r="M228" s="32">
        <v>300000</v>
      </c>
      <c r="N228" s="32">
        <v>40</v>
      </c>
      <c r="O228" s="32">
        <v>2500</v>
      </c>
      <c r="P228" s="32">
        <v>15000</v>
      </c>
    </row>
    <row r="229" spans="1:16" ht="22.5" customHeight="1" x14ac:dyDescent="0.35">
      <c r="A229" s="52"/>
      <c r="B229" s="37" t="s">
        <v>540</v>
      </c>
      <c r="C229" s="49" t="s">
        <v>458</v>
      </c>
      <c r="D229" s="32">
        <v>1</v>
      </c>
      <c r="E229" s="32"/>
      <c r="F229" s="32"/>
      <c r="G229" s="33"/>
      <c r="H229" s="32"/>
      <c r="I229" s="32"/>
      <c r="J229" s="32"/>
      <c r="K229" s="32"/>
      <c r="L229" s="32"/>
      <c r="M229" s="32"/>
      <c r="N229" s="32"/>
      <c r="O229" s="32"/>
      <c r="P229" s="32"/>
    </row>
    <row r="230" spans="1:16" ht="22.5" customHeight="1" x14ac:dyDescent="0.35">
      <c r="A230" s="52"/>
      <c r="B230" s="37" t="s">
        <v>541</v>
      </c>
      <c r="C230" s="49" t="s">
        <v>461</v>
      </c>
      <c r="D230" s="32">
        <v>1</v>
      </c>
      <c r="E230" s="32"/>
      <c r="F230" s="32"/>
      <c r="G230" s="33"/>
      <c r="H230" s="32"/>
      <c r="I230" s="32"/>
      <c r="J230" s="32"/>
      <c r="K230" s="32"/>
      <c r="L230" s="32"/>
      <c r="M230" s="32"/>
      <c r="N230" s="32"/>
      <c r="O230" s="32"/>
      <c r="P230" s="32"/>
    </row>
    <row r="231" spans="1:16" ht="22.5" customHeight="1" x14ac:dyDescent="0.35">
      <c r="A231" s="52"/>
      <c r="B231" s="37" t="s">
        <v>542</v>
      </c>
      <c r="C231" s="49" t="s">
        <v>463</v>
      </c>
      <c r="D231" s="32">
        <v>1</v>
      </c>
      <c r="E231" s="32"/>
      <c r="F231" s="32"/>
      <c r="G231" s="33"/>
      <c r="H231" s="32"/>
      <c r="I231" s="32"/>
      <c r="J231" s="32"/>
      <c r="K231" s="32"/>
      <c r="L231" s="32"/>
      <c r="M231" s="32"/>
      <c r="N231" s="32"/>
      <c r="O231" s="32"/>
      <c r="P231" s="32"/>
    </row>
    <row r="232" spans="1:16" ht="22.5" customHeight="1" x14ac:dyDescent="0.35">
      <c r="A232" s="52"/>
      <c r="B232" s="37" t="s">
        <v>543</v>
      </c>
      <c r="C232" s="49" t="s">
        <v>465</v>
      </c>
      <c r="D232" s="32">
        <v>1</v>
      </c>
      <c r="E232" s="32"/>
      <c r="F232" s="32"/>
      <c r="G232" s="33"/>
      <c r="H232" s="32"/>
      <c r="I232" s="32"/>
      <c r="J232" s="32"/>
      <c r="K232" s="32"/>
      <c r="L232" s="32"/>
      <c r="M232" s="32"/>
      <c r="N232" s="32"/>
      <c r="O232" s="32"/>
      <c r="P232" s="32"/>
    </row>
    <row r="233" spans="1:16" ht="22.5" customHeight="1" x14ac:dyDescent="0.35">
      <c r="A233" s="52"/>
      <c r="B233" s="37" t="s">
        <v>544</v>
      </c>
      <c r="C233" s="49" t="s">
        <v>467</v>
      </c>
      <c r="D233" s="32">
        <v>1</v>
      </c>
      <c r="E233" s="32"/>
      <c r="F233" s="32"/>
      <c r="G233" s="33"/>
      <c r="H233" s="32"/>
      <c r="I233" s="32"/>
      <c r="J233" s="32"/>
      <c r="K233" s="32"/>
      <c r="L233" s="32"/>
      <c r="M233" s="32"/>
      <c r="N233" s="32"/>
      <c r="O233" s="32"/>
      <c r="P233" s="32"/>
    </row>
    <row r="234" spans="1:16" ht="22.5" customHeight="1" x14ac:dyDescent="0.35">
      <c r="A234" s="52"/>
      <c r="B234" s="37" t="s">
        <v>545</v>
      </c>
      <c r="C234" s="49" t="s">
        <v>469</v>
      </c>
      <c r="D234" s="32"/>
      <c r="E234" s="32"/>
      <c r="F234" s="32"/>
      <c r="G234" s="33"/>
      <c r="H234" s="32"/>
      <c r="I234" s="32"/>
      <c r="J234" s="32"/>
      <c r="K234" s="32"/>
      <c r="L234" s="32"/>
      <c r="M234" s="32"/>
      <c r="N234" s="32"/>
      <c r="O234" s="32"/>
      <c r="P234" s="32"/>
    </row>
    <row r="235" spans="1:16" ht="22.5" customHeight="1" x14ac:dyDescent="0.35">
      <c r="A235" s="52"/>
      <c r="B235" s="48" t="s">
        <v>546</v>
      </c>
      <c r="D235" s="32">
        <v>1</v>
      </c>
      <c r="E235" s="32"/>
      <c r="F235" s="32"/>
      <c r="G235" s="33"/>
      <c r="H235" s="32"/>
      <c r="I235" s="32"/>
      <c r="J235" s="32"/>
      <c r="K235" s="32"/>
      <c r="L235" s="32"/>
      <c r="M235" s="32"/>
      <c r="N235" s="32"/>
      <c r="O235" s="32"/>
      <c r="P235" s="32"/>
    </row>
    <row r="236" spans="1:16" ht="22.5" customHeight="1" x14ac:dyDescent="0.35">
      <c r="A236" s="52"/>
      <c r="B236" s="37" t="s">
        <v>547</v>
      </c>
      <c r="C236" s="49" t="s">
        <v>471</v>
      </c>
      <c r="D236" s="32">
        <v>1</v>
      </c>
      <c r="E236" s="32"/>
      <c r="F236" s="32"/>
      <c r="G236" s="33"/>
      <c r="H236" s="32"/>
      <c r="I236" s="32"/>
      <c r="J236" s="32"/>
      <c r="K236" s="32"/>
      <c r="L236" s="32"/>
      <c r="M236" s="32"/>
      <c r="N236" s="32"/>
      <c r="O236" s="32"/>
      <c r="P236" s="32"/>
    </row>
    <row r="237" spans="1:16" ht="22.5" customHeight="1" x14ac:dyDescent="0.35">
      <c r="A237" s="52"/>
      <c r="B237" s="37" t="s">
        <v>548</v>
      </c>
      <c r="C237" s="49" t="s">
        <v>473</v>
      </c>
      <c r="D237" s="32"/>
      <c r="E237" s="32"/>
      <c r="F237" s="32"/>
      <c r="G237" s="33"/>
      <c r="H237" s="32"/>
      <c r="I237" s="32"/>
      <c r="J237" s="32"/>
      <c r="K237" s="32"/>
      <c r="L237" s="32"/>
      <c r="M237" s="32"/>
      <c r="N237" s="32"/>
      <c r="O237" s="32"/>
      <c r="P237" s="32"/>
    </row>
    <row r="238" spans="1:16" ht="22.5" customHeight="1" x14ac:dyDescent="0.35">
      <c r="A238" s="43"/>
      <c r="B238" s="42" t="s">
        <v>54</v>
      </c>
      <c r="C238" s="42" t="s">
        <v>549</v>
      </c>
      <c r="D238" s="32"/>
      <c r="E238" s="32"/>
      <c r="F238" s="32"/>
      <c r="G238" s="33"/>
      <c r="H238" s="32"/>
      <c r="I238" s="32"/>
      <c r="J238" s="32"/>
      <c r="K238" s="32"/>
      <c r="L238" s="32"/>
      <c r="M238" s="32"/>
      <c r="N238" s="32"/>
      <c r="O238" s="32"/>
      <c r="P238" s="32"/>
    </row>
    <row r="239" spans="1:16" ht="22.5" customHeight="1" x14ac:dyDescent="0.35">
      <c r="A239" s="43"/>
      <c r="B239" s="43" t="s">
        <v>56</v>
      </c>
      <c r="C239" s="42"/>
      <c r="D239" s="32"/>
      <c r="E239" s="32"/>
      <c r="F239" s="32"/>
      <c r="G239" s="33"/>
      <c r="H239" s="32"/>
      <c r="I239" s="32"/>
      <c r="J239" s="32"/>
      <c r="K239" s="32"/>
      <c r="L239" s="32"/>
      <c r="M239" s="32"/>
      <c r="N239" s="32"/>
      <c r="O239" s="32"/>
      <c r="P239" s="32"/>
    </row>
    <row r="240" spans="1:16" ht="22.5" customHeight="1" x14ac:dyDescent="0.35">
      <c r="A240" s="52"/>
      <c r="B240" s="48" t="s">
        <v>109</v>
      </c>
      <c r="D240" s="32">
        <v>1</v>
      </c>
      <c r="E240" s="32"/>
      <c r="F240" s="32"/>
      <c r="G240" s="33"/>
      <c r="H240" s="32"/>
      <c r="I240" s="32"/>
      <c r="J240" s="32"/>
      <c r="K240" s="32"/>
      <c r="L240" s="32"/>
      <c r="M240" s="32"/>
      <c r="N240" s="32"/>
      <c r="O240" s="32"/>
      <c r="P240" s="32"/>
    </row>
    <row r="241" spans="1:16" ht="22.5" customHeight="1" x14ac:dyDescent="0.35">
      <c r="A241" s="52"/>
      <c r="B241" s="50" t="s">
        <v>550</v>
      </c>
      <c r="C241" s="54" t="s">
        <v>1403</v>
      </c>
      <c r="D241" s="32">
        <v>1</v>
      </c>
      <c r="E241" s="32"/>
      <c r="F241" s="32"/>
      <c r="G241" s="33"/>
      <c r="H241" s="32"/>
      <c r="I241" s="32"/>
      <c r="J241" s="32"/>
      <c r="K241" s="32"/>
      <c r="L241" s="32"/>
      <c r="M241" s="32"/>
      <c r="N241" s="32"/>
      <c r="O241" s="32"/>
      <c r="P241" s="32"/>
    </row>
    <row r="242" spans="1:16" ht="22.5" customHeight="1" x14ac:dyDescent="0.35">
      <c r="A242" s="52"/>
      <c r="B242" s="50" t="s">
        <v>551</v>
      </c>
      <c r="C242" s="54" t="s">
        <v>1404</v>
      </c>
      <c r="D242" s="32">
        <v>2</v>
      </c>
      <c r="E242" s="32">
        <v>96</v>
      </c>
      <c r="F242" s="32">
        <f>96*5</f>
        <v>480</v>
      </c>
      <c r="G242" s="33"/>
      <c r="H242" s="32">
        <v>10000</v>
      </c>
      <c r="I242" s="32">
        <f>96*2</f>
        <v>192</v>
      </c>
      <c r="J242" s="32"/>
      <c r="K242" s="32">
        <v>1</v>
      </c>
      <c r="L242" s="32">
        <v>2000</v>
      </c>
      <c r="M242" s="32"/>
      <c r="N242" s="32"/>
      <c r="O242" s="32"/>
      <c r="P242" s="32">
        <v>2500</v>
      </c>
    </row>
    <row r="243" spans="1:16" ht="22.5" customHeight="1" x14ac:dyDescent="0.35">
      <c r="A243" s="52"/>
      <c r="B243" s="50" t="s">
        <v>552</v>
      </c>
      <c r="C243" s="54" t="s">
        <v>1405</v>
      </c>
      <c r="D243" s="32">
        <v>1</v>
      </c>
      <c r="E243" s="32"/>
      <c r="F243" s="32"/>
      <c r="G243" s="33"/>
      <c r="H243" s="32"/>
      <c r="I243" s="32"/>
      <c r="J243" s="32"/>
      <c r="K243" s="32"/>
      <c r="L243" s="32"/>
      <c r="M243" s="32"/>
      <c r="N243" s="32"/>
      <c r="O243" s="32"/>
      <c r="P243" s="32"/>
    </row>
    <row r="244" spans="1:16" ht="22.5" customHeight="1" x14ac:dyDescent="0.35">
      <c r="A244" s="52"/>
      <c r="B244" s="50" t="s">
        <v>553</v>
      </c>
      <c r="C244" s="54" t="s">
        <v>1406</v>
      </c>
      <c r="D244" s="32"/>
      <c r="E244" s="32"/>
      <c r="F244" s="32"/>
      <c r="G244" s="33"/>
      <c r="H244" s="32"/>
      <c r="I244" s="32"/>
      <c r="J244" s="32"/>
      <c r="K244" s="32"/>
      <c r="L244" s="32"/>
      <c r="M244" s="32"/>
      <c r="N244" s="32"/>
      <c r="O244" s="32"/>
      <c r="P244" s="32"/>
    </row>
    <row r="245" spans="1:16" ht="22.5" customHeight="1" x14ac:dyDescent="0.35">
      <c r="A245" s="52"/>
      <c r="B245" s="48" t="s">
        <v>111</v>
      </c>
      <c r="D245" s="32">
        <v>1</v>
      </c>
      <c r="E245" s="32">
        <v>10</v>
      </c>
      <c r="F245" s="32">
        <v>30</v>
      </c>
      <c r="G245" s="33">
        <v>40000</v>
      </c>
      <c r="H245" s="32">
        <v>40000</v>
      </c>
      <c r="I245" s="32">
        <v>20</v>
      </c>
      <c r="J245" s="32"/>
      <c r="K245" s="32">
        <v>5</v>
      </c>
      <c r="L245" s="32">
        <v>10000</v>
      </c>
      <c r="M245" s="32">
        <v>100000</v>
      </c>
      <c r="N245" s="32"/>
      <c r="O245" s="32">
        <v>2500</v>
      </c>
      <c r="P245" s="32">
        <v>15000</v>
      </c>
    </row>
    <row r="246" spans="1:16" ht="22.5" customHeight="1" x14ac:dyDescent="0.35">
      <c r="A246" s="52"/>
      <c r="B246" s="50" t="s">
        <v>554</v>
      </c>
      <c r="C246" s="54" t="s">
        <v>1407</v>
      </c>
      <c r="D246" s="32">
        <v>1</v>
      </c>
      <c r="E246" s="32">
        <v>96</v>
      </c>
      <c r="F246" s="32">
        <v>960</v>
      </c>
      <c r="G246" s="33"/>
      <c r="H246" s="32">
        <v>10000</v>
      </c>
      <c r="I246" s="32"/>
      <c r="J246" s="32"/>
      <c r="K246" s="32">
        <v>3</v>
      </c>
      <c r="L246" s="32">
        <v>2000</v>
      </c>
      <c r="M246" s="32"/>
      <c r="N246" s="32"/>
      <c r="O246" s="32"/>
      <c r="P246" s="32">
        <v>2500</v>
      </c>
    </row>
    <row r="247" spans="1:16" ht="22.5" customHeight="1" x14ac:dyDescent="0.35">
      <c r="A247" s="52"/>
      <c r="B247" s="50" t="s">
        <v>555</v>
      </c>
      <c r="C247" s="54" t="s">
        <v>1408</v>
      </c>
      <c r="D247" s="32">
        <v>1</v>
      </c>
      <c r="E247" s="32"/>
      <c r="F247" s="32"/>
      <c r="G247" s="33"/>
      <c r="H247" s="32"/>
      <c r="I247" s="32"/>
      <c r="J247" s="32"/>
      <c r="K247" s="32"/>
      <c r="L247" s="32"/>
      <c r="M247" s="32"/>
      <c r="N247" s="32"/>
      <c r="O247" s="32"/>
      <c r="P247" s="32"/>
    </row>
    <row r="248" spans="1:16" ht="22.5" customHeight="1" x14ac:dyDescent="0.35">
      <c r="A248" s="52"/>
      <c r="B248" s="50" t="s">
        <v>556</v>
      </c>
      <c r="C248" s="54" t="s">
        <v>1409</v>
      </c>
      <c r="D248" s="32">
        <v>1</v>
      </c>
      <c r="E248" s="32"/>
      <c r="F248" s="32"/>
      <c r="G248" s="33"/>
      <c r="H248" s="32"/>
      <c r="I248" s="32"/>
      <c r="J248" s="32"/>
      <c r="K248" s="32"/>
      <c r="L248" s="32"/>
      <c r="M248" s="32"/>
      <c r="N248" s="32"/>
      <c r="O248" s="32"/>
      <c r="P248" s="32"/>
    </row>
    <row r="249" spans="1:16" ht="22.5" customHeight="1" x14ac:dyDescent="0.35">
      <c r="A249" s="52"/>
      <c r="B249" s="50" t="s">
        <v>557</v>
      </c>
      <c r="C249" s="54" t="s">
        <v>1410</v>
      </c>
      <c r="D249" s="32">
        <v>1</v>
      </c>
      <c r="E249" s="32"/>
      <c r="F249" s="32"/>
      <c r="G249" s="33"/>
      <c r="H249" s="32"/>
      <c r="I249" s="32"/>
      <c r="J249" s="32"/>
      <c r="K249" s="32"/>
      <c r="L249" s="32"/>
      <c r="M249" s="32"/>
      <c r="N249" s="32"/>
      <c r="O249" s="32"/>
      <c r="P249" s="32"/>
    </row>
    <row r="250" spans="1:16" ht="22.5" customHeight="1" x14ac:dyDescent="0.35">
      <c r="A250" s="52"/>
      <c r="B250" s="50" t="s">
        <v>558</v>
      </c>
      <c r="C250" s="54" t="s">
        <v>1411</v>
      </c>
      <c r="D250" s="32">
        <v>1</v>
      </c>
      <c r="E250" s="32"/>
      <c r="F250" s="32"/>
      <c r="G250" s="33"/>
      <c r="H250" s="32"/>
      <c r="I250" s="32"/>
      <c r="J250" s="32"/>
      <c r="K250" s="32"/>
      <c r="L250" s="32"/>
      <c r="M250" s="32"/>
      <c r="N250" s="32"/>
      <c r="O250" s="32"/>
      <c r="P250" s="32"/>
    </row>
    <row r="251" spans="1:16" ht="22.5" customHeight="1" x14ac:dyDescent="0.35">
      <c r="A251" s="52"/>
      <c r="B251" s="50" t="s">
        <v>559</v>
      </c>
      <c r="C251" s="54" t="s">
        <v>1412</v>
      </c>
      <c r="D251" s="32">
        <v>1</v>
      </c>
      <c r="E251" s="32"/>
      <c r="F251" s="32"/>
      <c r="G251" s="33"/>
      <c r="H251" s="32"/>
      <c r="I251" s="32"/>
      <c r="J251" s="32"/>
      <c r="K251" s="32"/>
      <c r="L251" s="32"/>
      <c r="M251" s="32"/>
      <c r="N251" s="32"/>
      <c r="O251" s="32"/>
      <c r="P251" s="32"/>
    </row>
    <row r="252" spans="1:16" ht="22.5" customHeight="1" x14ac:dyDescent="0.35">
      <c r="A252" s="52"/>
      <c r="B252" s="48" t="s">
        <v>113</v>
      </c>
      <c r="D252" s="32">
        <v>1</v>
      </c>
      <c r="E252" s="32">
        <v>96</v>
      </c>
      <c r="F252" s="32">
        <v>960</v>
      </c>
      <c r="G252" s="33"/>
      <c r="H252" s="32">
        <v>10000</v>
      </c>
      <c r="I252" s="32"/>
      <c r="J252" s="32"/>
      <c r="K252" s="32">
        <v>1</v>
      </c>
      <c r="L252" s="32">
        <v>2000</v>
      </c>
      <c r="M252" s="32"/>
      <c r="N252" s="32">
        <v>960</v>
      </c>
      <c r="O252" s="32"/>
      <c r="P252" s="32">
        <v>2500</v>
      </c>
    </row>
    <row r="253" spans="1:16" ht="22.5" customHeight="1" x14ac:dyDescent="0.35">
      <c r="A253" s="52"/>
      <c r="B253" s="50" t="s">
        <v>560</v>
      </c>
      <c r="C253" s="54" t="s">
        <v>1413</v>
      </c>
      <c r="D253" s="32">
        <v>1</v>
      </c>
      <c r="E253" s="32"/>
      <c r="F253" s="32"/>
      <c r="G253" s="33"/>
      <c r="H253" s="32"/>
      <c r="I253" s="32"/>
      <c r="J253" s="32"/>
      <c r="K253" s="32"/>
      <c r="L253" s="32"/>
      <c r="M253" s="32"/>
      <c r="N253" s="32"/>
      <c r="O253" s="32"/>
      <c r="P253" s="32"/>
    </row>
    <row r="254" spans="1:16" ht="22.5" customHeight="1" x14ac:dyDescent="0.35">
      <c r="A254" s="52"/>
      <c r="B254" s="50" t="s">
        <v>561</v>
      </c>
      <c r="C254" s="54" t="s">
        <v>1414</v>
      </c>
      <c r="D254" s="32">
        <v>1</v>
      </c>
      <c r="E254" s="32"/>
      <c r="F254" s="32"/>
      <c r="G254" s="33"/>
      <c r="H254" s="32"/>
      <c r="I254" s="32"/>
      <c r="J254" s="32"/>
      <c r="K254" s="32"/>
      <c r="L254" s="32"/>
      <c r="M254" s="32"/>
      <c r="N254" s="32"/>
      <c r="O254" s="32"/>
      <c r="P254" s="32"/>
    </row>
    <row r="255" spans="1:16" ht="22.5" customHeight="1" x14ac:dyDescent="0.35">
      <c r="A255" s="52"/>
      <c r="B255" s="50" t="s">
        <v>562</v>
      </c>
      <c r="C255" s="54" t="s">
        <v>1415</v>
      </c>
      <c r="D255" s="32">
        <v>12</v>
      </c>
      <c r="E255" s="32"/>
      <c r="F255" s="32"/>
      <c r="G255" s="33"/>
      <c r="H255" s="32"/>
      <c r="I255" s="32"/>
      <c r="J255" s="32"/>
      <c r="K255" s="32">
        <v>1</v>
      </c>
      <c r="L255" s="32">
        <v>2000</v>
      </c>
      <c r="M255" s="32"/>
      <c r="N255" s="32">
        <v>500</v>
      </c>
      <c r="O255" s="32"/>
      <c r="P255" s="32"/>
    </row>
    <row r="256" spans="1:16" ht="22.5" customHeight="1" x14ac:dyDescent="0.35">
      <c r="A256" s="52"/>
      <c r="B256" s="50" t="s">
        <v>563</v>
      </c>
      <c r="C256" s="54" t="s">
        <v>1416</v>
      </c>
      <c r="D256" s="32">
        <v>1</v>
      </c>
      <c r="E256" s="32"/>
      <c r="F256" s="32"/>
      <c r="G256" s="33"/>
      <c r="H256" s="32"/>
      <c r="I256" s="32"/>
      <c r="J256" s="32"/>
      <c r="K256" s="32"/>
      <c r="L256" s="32"/>
      <c r="M256" s="32"/>
      <c r="N256" s="32"/>
      <c r="O256" s="32"/>
      <c r="P256" s="32"/>
    </row>
    <row r="257" spans="1:16" ht="22.5" customHeight="1" x14ac:dyDescent="0.35">
      <c r="A257" s="52"/>
      <c r="B257" s="50" t="s">
        <v>564</v>
      </c>
      <c r="C257" s="54" t="s">
        <v>1417</v>
      </c>
      <c r="D257" s="32">
        <v>1</v>
      </c>
      <c r="E257" s="32">
        <v>96</v>
      </c>
      <c r="F257" s="32">
        <v>960</v>
      </c>
      <c r="G257" s="53"/>
      <c r="H257" s="32">
        <v>10000</v>
      </c>
      <c r="I257" s="32"/>
      <c r="J257" s="32"/>
      <c r="K257" s="32">
        <v>1</v>
      </c>
      <c r="L257" s="32">
        <v>2000</v>
      </c>
      <c r="M257" s="32"/>
      <c r="N257" s="32">
        <v>960</v>
      </c>
      <c r="O257" s="32"/>
      <c r="P257" s="32">
        <v>2500</v>
      </c>
    </row>
    <row r="258" spans="1:16" ht="22.5" customHeight="1" x14ac:dyDescent="0.35">
      <c r="A258" s="52"/>
      <c r="B258" s="50" t="s">
        <v>565</v>
      </c>
      <c r="C258" s="54" t="s">
        <v>1418</v>
      </c>
      <c r="D258" s="32">
        <v>1</v>
      </c>
      <c r="E258" s="32"/>
      <c r="F258" s="32"/>
      <c r="G258" s="53"/>
      <c r="H258" s="32"/>
      <c r="I258" s="32"/>
      <c r="J258" s="32"/>
      <c r="K258" s="32"/>
      <c r="L258" s="32"/>
      <c r="M258" s="32"/>
      <c r="N258" s="32"/>
      <c r="O258" s="32"/>
      <c r="P258" s="32"/>
    </row>
    <row r="259" spans="1:16" ht="22.5" customHeight="1" x14ac:dyDescent="0.35">
      <c r="A259" s="52"/>
      <c r="B259" s="50" t="s">
        <v>566</v>
      </c>
      <c r="C259" s="54" t="s">
        <v>1419</v>
      </c>
      <c r="D259" s="32">
        <v>1</v>
      </c>
      <c r="E259" s="32"/>
      <c r="F259" s="32"/>
      <c r="G259" s="53"/>
      <c r="H259" s="32"/>
      <c r="I259" s="32"/>
      <c r="J259" s="32"/>
      <c r="K259" s="32"/>
      <c r="L259" s="32"/>
      <c r="M259" s="32"/>
      <c r="N259" s="32"/>
      <c r="O259" s="32"/>
      <c r="P259" s="32"/>
    </row>
    <row r="260" spans="1:16" ht="22.5" customHeight="1" x14ac:dyDescent="0.35">
      <c r="A260" s="52"/>
      <c r="B260" s="50" t="s">
        <v>567</v>
      </c>
      <c r="C260" s="54" t="s">
        <v>1420</v>
      </c>
      <c r="D260" s="32">
        <v>1</v>
      </c>
      <c r="E260" s="32"/>
      <c r="F260" s="32"/>
      <c r="G260" s="53"/>
      <c r="H260" s="32"/>
      <c r="I260" s="32"/>
      <c r="J260" s="32"/>
      <c r="K260" s="32"/>
      <c r="L260" s="32"/>
      <c r="M260" s="32"/>
      <c r="N260" s="32"/>
      <c r="O260" s="32"/>
      <c r="P260" s="32"/>
    </row>
    <row r="261" spans="1:16" ht="22.5" customHeight="1" x14ac:dyDescent="0.35">
      <c r="A261" s="52"/>
      <c r="B261" s="50" t="s">
        <v>568</v>
      </c>
      <c r="C261" s="54" t="s">
        <v>1421</v>
      </c>
      <c r="D261" s="32">
        <v>1</v>
      </c>
      <c r="E261" s="32"/>
      <c r="F261" s="32"/>
      <c r="G261" s="53"/>
      <c r="H261" s="32"/>
      <c r="I261" s="32"/>
      <c r="J261" s="32"/>
      <c r="K261" s="32"/>
      <c r="L261" s="32"/>
      <c r="M261" s="32"/>
      <c r="N261" s="32"/>
      <c r="O261" s="32"/>
      <c r="P261" s="32"/>
    </row>
    <row r="262" spans="1:16" ht="22.5" customHeight="1" x14ac:dyDescent="0.35">
      <c r="A262" s="52"/>
      <c r="B262" s="50" t="s">
        <v>569</v>
      </c>
      <c r="C262" s="54" t="s">
        <v>1422</v>
      </c>
      <c r="D262" s="32">
        <v>12</v>
      </c>
      <c r="E262" s="32"/>
      <c r="F262" s="32"/>
      <c r="G262" s="53"/>
      <c r="H262" s="32"/>
      <c r="I262" s="32"/>
      <c r="J262" s="32"/>
      <c r="K262" s="32">
        <v>1</v>
      </c>
      <c r="L262" s="32">
        <v>80000</v>
      </c>
      <c r="M262" s="32"/>
      <c r="N262" s="32">
        <v>40</v>
      </c>
      <c r="O262" s="32"/>
      <c r="P262" s="32"/>
    </row>
    <row r="263" spans="1:16" ht="22.5" customHeight="1" x14ac:dyDescent="0.35">
      <c r="A263" s="52"/>
      <c r="B263" s="50" t="s">
        <v>570</v>
      </c>
      <c r="C263" s="54" t="s">
        <v>1423</v>
      </c>
      <c r="D263" s="32"/>
      <c r="E263" s="32"/>
      <c r="F263" s="32"/>
      <c r="G263" s="53"/>
      <c r="H263" s="32"/>
      <c r="I263" s="32"/>
      <c r="J263" s="32"/>
      <c r="K263" s="32"/>
      <c r="L263" s="32"/>
      <c r="M263" s="32"/>
      <c r="N263" s="32"/>
      <c r="O263" s="32"/>
      <c r="P263" s="32"/>
    </row>
    <row r="264" spans="1:16" ht="22.5" customHeight="1" x14ac:dyDescent="0.35">
      <c r="A264" s="52"/>
      <c r="B264" s="48" t="s">
        <v>115</v>
      </c>
      <c r="D264" s="32">
        <v>1</v>
      </c>
      <c r="E264" s="32"/>
      <c r="F264" s="32"/>
      <c r="G264" s="53"/>
      <c r="H264" s="32"/>
      <c r="I264" s="32"/>
      <c r="J264" s="32"/>
      <c r="K264" s="32"/>
      <c r="L264" s="32"/>
      <c r="M264" s="32"/>
      <c r="N264" s="32"/>
      <c r="O264" s="32"/>
      <c r="P264" s="32"/>
    </row>
    <row r="265" spans="1:16" ht="22.5" customHeight="1" x14ac:dyDescent="0.35">
      <c r="A265" s="52"/>
      <c r="B265" s="50" t="s">
        <v>571</v>
      </c>
      <c r="C265" s="54" t="s">
        <v>1424</v>
      </c>
      <c r="D265" s="32">
        <v>52</v>
      </c>
      <c r="E265" s="32"/>
      <c r="F265" s="32"/>
      <c r="G265" s="53"/>
      <c r="H265" s="32"/>
      <c r="I265" s="32"/>
      <c r="J265" s="32"/>
      <c r="K265" s="32">
        <v>1</v>
      </c>
      <c r="L265" s="32">
        <v>2000</v>
      </c>
      <c r="M265" s="32"/>
      <c r="N265" s="32">
        <v>1250</v>
      </c>
      <c r="O265" s="32"/>
      <c r="P265" s="32"/>
    </row>
    <row r="266" spans="1:16" ht="22.5" customHeight="1" x14ac:dyDescent="0.35">
      <c r="A266" s="52"/>
      <c r="B266" s="50" t="s">
        <v>572</v>
      </c>
      <c r="C266" s="54" t="s">
        <v>1425</v>
      </c>
      <c r="D266" s="32">
        <v>1</v>
      </c>
      <c r="E266" s="32"/>
      <c r="F266" s="32"/>
      <c r="G266" s="53"/>
      <c r="H266" s="32"/>
      <c r="I266" s="32"/>
      <c r="J266" s="32"/>
      <c r="K266" s="32"/>
      <c r="L266" s="32"/>
      <c r="M266" s="32"/>
      <c r="N266" s="32"/>
      <c r="O266" s="32"/>
      <c r="P266" s="32"/>
    </row>
    <row r="267" spans="1:16" ht="22.5" customHeight="1" x14ac:dyDescent="0.35">
      <c r="A267" s="52"/>
      <c r="B267" s="50" t="s">
        <v>573</v>
      </c>
      <c r="C267" s="54" t="s">
        <v>1426</v>
      </c>
      <c r="D267" s="32">
        <v>1</v>
      </c>
      <c r="E267" s="32"/>
      <c r="F267" s="32"/>
      <c r="G267" s="53"/>
      <c r="H267" s="32"/>
      <c r="I267" s="32"/>
      <c r="J267" s="32"/>
      <c r="K267" s="32"/>
      <c r="L267" s="32"/>
      <c r="M267" s="32"/>
      <c r="N267" s="32"/>
      <c r="O267" s="32"/>
      <c r="P267" s="32"/>
    </row>
    <row r="268" spans="1:16" ht="22.5" customHeight="1" x14ac:dyDescent="0.35">
      <c r="A268" s="52"/>
      <c r="B268" s="50" t="s">
        <v>574</v>
      </c>
      <c r="C268" s="54" t="s">
        <v>1427</v>
      </c>
      <c r="D268" s="32">
        <v>1</v>
      </c>
      <c r="E268" s="32"/>
      <c r="F268" s="32"/>
      <c r="G268" s="53"/>
      <c r="H268" s="32"/>
      <c r="I268" s="32"/>
      <c r="J268" s="32"/>
      <c r="K268" s="32"/>
      <c r="L268" s="32"/>
      <c r="M268" s="32"/>
      <c r="N268" s="32"/>
      <c r="O268" s="32"/>
      <c r="P268" s="32"/>
    </row>
    <row r="269" spans="1:16" ht="22.5" customHeight="1" x14ac:dyDescent="0.35">
      <c r="A269" s="52"/>
      <c r="B269" s="50" t="s">
        <v>575</v>
      </c>
      <c r="C269" s="54" t="s">
        <v>1428</v>
      </c>
      <c r="D269" s="32">
        <v>1</v>
      </c>
      <c r="E269" s="32"/>
      <c r="F269" s="32"/>
      <c r="G269" s="53"/>
      <c r="H269" s="32"/>
      <c r="I269" s="32"/>
      <c r="J269" s="32"/>
      <c r="K269" s="32"/>
      <c r="L269" s="32"/>
      <c r="M269" s="32"/>
      <c r="N269" s="32"/>
      <c r="O269" s="32"/>
      <c r="P269" s="32"/>
    </row>
    <row r="270" spans="1:16" ht="22.5" customHeight="1" x14ac:dyDescent="0.35">
      <c r="A270" s="52"/>
      <c r="B270" s="50" t="s">
        <v>576</v>
      </c>
      <c r="C270" s="54" t="s">
        <v>1429</v>
      </c>
      <c r="D270" s="32"/>
      <c r="E270" s="32"/>
      <c r="F270" s="32"/>
      <c r="G270" s="53"/>
      <c r="H270" s="32"/>
      <c r="I270" s="32"/>
      <c r="J270" s="32"/>
      <c r="K270" s="32"/>
      <c r="L270" s="32"/>
      <c r="M270" s="32"/>
      <c r="N270" s="32"/>
      <c r="O270" s="32"/>
      <c r="P270" s="32"/>
    </row>
    <row r="271" spans="1:16" ht="22.5" customHeight="1" x14ac:dyDescent="0.35">
      <c r="A271" s="52"/>
      <c r="B271" s="48" t="s">
        <v>117</v>
      </c>
      <c r="D271" s="32">
        <v>1</v>
      </c>
      <c r="E271" s="32"/>
      <c r="F271" s="32"/>
      <c r="G271" s="53"/>
      <c r="H271" s="32"/>
      <c r="I271" s="32"/>
      <c r="J271" s="32"/>
      <c r="K271" s="32"/>
      <c r="L271" s="32"/>
      <c r="M271" s="32"/>
      <c r="N271" s="32"/>
      <c r="O271" s="32"/>
      <c r="P271" s="32"/>
    </row>
    <row r="272" spans="1:16" ht="22.5" customHeight="1" x14ac:dyDescent="0.35">
      <c r="A272" s="52"/>
      <c r="B272" s="50" t="s">
        <v>577</v>
      </c>
      <c r="C272" s="54" t="s">
        <v>1430</v>
      </c>
      <c r="D272" s="32">
        <v>4</v>
      </c>
      <c r="E272" s="32">
        <v>4</v>
      </c>
      <c r="F272" s="32"/>
      <c r="G272" s="33"/>
      <c r="H272" s="32">
        <v>40000</v>
      </c>
      <c r="I272" s="32"/>
      <c r="J272" s="32"/>
      <c r="K272" s="32">
        <v>2</v>
      </c>
      <c r="L272" s="32">
        <v>10000</v>
      </c>
      <c r="M272" s="32">
        <v>100000</v>
      </c>
      <c r="N272" s="32">
        <v>50</v>
      </c>
      <c r="O272" s="32"/>
      <c r="P272" s="32">
        <v>15000</v>
      </c>
    </row>
    <row r="273" spans="1:16" ht="22.5" customHeight="1" x14ac:dyDescent="0.35">
      <c r="A273" s="52"/>
      <c r="B273" s="50" t="s">
        <v>578</v>
      </c>
      <c r="C273" s="54" t="s">
        <v>1431</v>
      </c>
      <c r="D273" s="32">
        <v>1</v>
      </c>
      <c r="E273" s="32"/>
      <c r="F273" s="32"/>
      <c r="G273" s="33"/>
      <c r="H273" s="32"/>
      <c r="I273" s="32"/>
      <c r="J273" s="32"/>
      <c r="K273" s="32"/>
      <c r="L273" s="32"/>
      <c r="M273" s="32"/>
      <c r="N273" s="32"/>
      <c r="O273" s="32"/>
      <c r="P273" s="32"/>
    </row>
    <row r="274" spans="1:16" ht="22.5" customHeight="1" x14ac:dyDescent="0.35">
      <c r="A274" s="52"/>
      <c r="B274" s="50" t="s">
        <v>579</v>
      </c>
      <c r="C274" s="54" t="s">
        <v>1432</v>
      </c>
      <c r="D274" s="32"/>
      <c r="E274" s="32"/>
      <c r="F274" s="32"/>
      <c r="G274" s="33"/>
      <c r="H274" s="32"/>
      <c r="I274" s="32"/>
      <c r="J274" s="32"/>
      <c r="K274" s="32"/>
      <c r="L274" s="32"/>
      <c r="M274" s="32"/>
      <c r="N274" s="32"/>
      <c r="O274" s="32"/>
      <c r="P274" s="32"/>
    </row>
    <row r="275" spans="1:16" ht="22.5" customHeight="1" x14ac:dyDescent="0.35">
      <c r="A275" s="45"/>
      <c r="B275" s="45" t="s">
        <v>57</v>
      </c>
      <c r="C275" s="46"/>
      <c r="D275" s="32"/>
      <c r="E275" s="32"/>
      <c r="F275" s="32"/>
      <c r="G275" s="33"/>
      <c r="H275" s="32"/>
      <c r="I275" s="32"/>
      <c r="J275" s="32"/>
      <c r="K275" s="32"/>
      <c r="L275" s="32"/>
      <c r="M275" s="32"/>
      <c r="N275" s="32"/>
      <c r="O275" s="32"/>
      <c r="P275" s="32"/>
    </row>
    <row r="276" spans="1:16" ht="22.5" customHeight="1" x14ac:dyDescent="0.35">
      <c r="A276" s="52"/>
      <c r="B276" s="48" t="s">
        <v>119</v>
      </c>
      <c r="D276" s="32">
        <v>1</v>
      </c>
      <c r="E276" s="32">
        <v>4</v>
      </c>
      <c r="F276" s="32">
        <v>20</v>
      </c>
      <c r="G276" s="33">
        <v>10000</v>
      </c>
      <c r="H276" s="32">
        <v>40000</v>
      </c>
      <c r="I276" s="32">
        <v>20</v>
      </c>
      <c r="J276" s="32"/>
      <c r="K276" s="32">
        <v>1</v>
      </c>
      <c r="L276" s="32"/>
      <c r="M276" s="32">
        <v>150000</v>
      </c>
      <c r="N276" s="32"/>
      <c r="O276" s="32"/>
      <c r="P276" s="32">
        <v>15000</v>
      </c>
    </row>
    <row r="277" spans="1:16" ht="22.5" customHeight="1" x14ac:dyDescent="0.35">
      <c r="A277" s="52"/>
      <c r="B277" s="50" t="s">
        <v>580</v>
      </c>
      <c r="C277" s="54" t="s">
        <v>1433</v>
      </c>
      <c r="D277" s="32">
        <v>1</v>
      </c>
      <c r="E277" s="32"/>
      <c r="F277" s="32"/>
      <c r="G277" s="33"/>
      <c r="H277" s="32"/>
      <c r="I277" s="32"/>
      <c r="J277" s="32"/>
      <c r="K277" s="32"/>
      <c r="L277" s="32"/>
      <c r="M277" s="32"/>
      <c r="N277" s="32"/>
      <c r="O277" s="32"/>
      <c r="P277" s="32"/>
    </row>
    <row r="278" spans="1:16" ht="22.5" customHeight="1" x14ac:dyDescent="0.35">
      <c r="A278" s="52"/>
      <c r="B278" s="50" t="s">
        <v>581</v>
      </c>
      <c r="C278" s="54" t="s">
        <v>1434</v>
      </c>
      <c r="D278" s="32">
        <v>1</v>
      </c>
      <c r="E278" s="32"/>
      <c r="F278" s="32"/>
      <c r="G278" s="33"/>
      <c r="H278" s="32"/>
      <c r="I278" s="32"/>
      <c r="J278" s="32"/>
      <c r="K278" s="32"/>
      <c r="L278" s="32"/>
      <c r="M278" s="32"/>
      <c r="N278" s="32"/>
      <c r="O278" s="32"/>
      <c r="P278" s="32"/>
    </row>
    <row r="279" spans="1:16" ht="22.5" customHeight="1" x14ac:dyDescent="0.35">
      <c r="A279" s="52"/>
      <c r="B279" s="50" t="s">
        <v>582</v>
      </c>
      <c r="C279" s="54" t="s">
        <v>1435</v>
      </c>
      <c r="D279" s="32"/>
      <c r="E279" s="32"/>
      <c r="F279" s="32"/>
      <c r="G279" s="33"/>
      <c r="H279" s="32"/>
      <c r="I279" s="32"/>
      <c r="J279" s="32"/>
      <c r="K279" s="32"/>
      <c r="L279" s="32"/>
      <c r="M279" s="32"/>
      <c r="N279" s="32"/>
      <c r="O279" s="32"/>
      <c r="P279" s="32"/>
    </row>
    <row r="280" spans="1:16" ht="22.5" customHeight="1" x14ac:dyDescent="0.35">
      <c r="A280" s="45"/>
      <c r="B280" s="45" t="s">
        <v>59</v>
      </c>
      <c r="C280" s="46"/>
      <c r="D280" s="32"/>
      <c r="E280" s="32"/>
      <c r="F280" s="32"/>
      <c r="G280" s="33"/>
      <c r="H280" s="32"/>
      <c r="I280" s="32"/>
      <c r="J280" s="32"/>
      <c r="K280" s="32"/>
      <c r="L280" s="32"/>
      <c r="M280" s="32"/>
      <c r="N280" s="32"/>
      <c r="O280" s="32"/>
      <c r="P280" s="32"/>
    </row>
    <row r="281" spans="1:16" ht="22.5" customHeight="1" x14ac:dyDescent="0.35">
      <c r="A281" s="52"/>
      <c r="B281" s="48" t="s">
        <v>121</v>
      </c>
      <c r="D281" s="32">
        <v>1</v>
      </c>
      <c r="E281" s="32">
        <v>4</v>
      </c>
      <c r="F281" s="32">
        <v>20</v>
      </c>
      <c r="G281" s="33">
        <v>10000</v>
      </c>
      <c r="H281" s="32">
        <v>40000</v>
      </c>
      <c r="I281" s="32">
        <v>20</v>
      </c>
      <c r="J281" s="32"/>
      <c r="K281" s="32">
        <v>1</v>
      </c>
      <c r="L281" s="32"/>
      <c r="M281" s="32">
        <v>150000</v>
      </c>
      <c r="N281" s="32">
        <v>50</v>
      </c>
      <c r="O281" s="32"/>
      <c r="P281" s="32">
        <v>15000</v>
      </c>
    </row>
    <row r="282" spans="1:16" ht="22.5" customHeight="1" x14ac:dyDescent="0.35">
      <c r="A282" s="52"/>
      <c r="B282" s="50" t="s">
        <v>583</v>
      </c>
      <c r="C282" s="54" t="s">
        <v>1436</v>
      </c>
      <c r="D282" s="32">
        <v>1</v>
      </c>
      <c r="E282" s="32"/>
      <c r="F282" s="32"/>
      <c r="G282" s="33"/>
      <c r="H282" s="32"/>
      <c r="I282" s="32"/>
      <c r="J282" s="32"/>
      <c r="K282" s="32"/>
      <c r="L282" s="32"/>
      <c r="M282" s="32"/>
      <c r="N282" s="32"/>
      <c r="O282" s="32"/>
      <c r="P282" s="32"/>
    </row>
    <row r="283" spans="1:16" ht="22.5" customHeight="1" x14ac:dyDescent="0.35">
      <c r="A283" s="52"/>
      <c r="B283" s="50" t="s">
        <v>584</v>
      </c>
      <c r="C283" s="54" t="s">
        <v>1437</v>
      </c>
      <c r="D283" s="32">
        <v>1</v>
      </c>
      <c r="E283" s="32"/>
      <c r="F283" s="32"/>
      <c r="G283" s="33"/>
      <c r="H283" s="32"/>
      <c r="I283" s="32"/>
      <c r="J283" s="32"/>
      <c r="K283" s="32"/>
      <c r="L283" s="32"/>
      <c r="M283" s="32"/>
      <c r="N283" s="32"/>
      <c r="O283" s="32"/>
      <c r="P283" s="32"/>
    </row>
    <row r="284" spans="1:16" ht="22.5" customHeight="1" x14ac:dyDescent="0.35">
      <c r="A284" s="52"/>
      <c r="B284" s="50" t="s">
        <v>585</v>
      </c>
      <c r="C284" s="54" t="s">
        <v>1438</v>
      </c>
      <c r="D284" s="32">
        <v>12</v>
      </c>
      <c r="E284" s="32">
        <v>96</v>
      </c>
      <c r="F284" s="32"/>
      <c r="G284" s="33"/>
      <c r="H284" s="32">
        <v>5000</v>
      </c>
      <c r="I284" s="32"/>
      <c r="J284" s="32"/>
      <c r="K284" s="32">
        <v>1</v>
      </c>
      <c r="L284" s="32">
        <v>2000</v>
      </c>
      <c r="M284" s="32"/>
      <c r="N284" s="32">
        <v>1</v>
      </c>
      <c r="O284" s="32"/>
      <c r="P284" s="32"/>
    </row>
    <row r="285" spans="1:16" ht="22.5" customHeight="1" x14ac:dyDescent="0.35">
      <c r="A285" s="52"/>
      <c r="B285" s="50" t="s">
        <v>586</v>
      </c>
      <c r="C285" s="54" t="s">
        <v>1439</v>
      </c>
      <c r="D285" s="32">
        <v>1</v>
      </c>
      <c r="E285" s="32"/>
      <c r="F285" s="32"/>
      <c r="G285" s="33"/>
      <c r="H285" s="32"/>
      <c r="I285" s="32"/>
      <c r="J285" s="32"/>
      <c r="K285" s="32"/>
      <c r="L285" s="32"/>
      <c r="M285" s="32"/>
      <c r="N285" s="32"/>
      <c r="O285" s="32"/>
      <c r="P285" s="32"/>
    </row>
    <row r="286" spans="1:16" ht="22.5" customHeight="1" x14ac:dyDescent="0.35">
      <c r="A286" s="52"/>
      <c r="B286" s="50" t="s">
        <v>587</v>
      </c>
      <c r="C286" s="54" t="s">
        <v>1440</v>
      </c>
      <c r="D286" s="32">
        <v>1</v>
      </c>
      <c r="E286" s="32"/>
      <c r="F286" s="32"/>
      <c r="G286" s="33"/>
      <c r="H286" s="32"/>
      <c r="I286" s="32"/>
      <c r="J286" s="32"/>
      <c r="K286" s="32"/>
      <c r="L286" s="32"/>
      <c r="M286" s="32"/>
      <c r="N286" s="32"/>
      <c r="O286" s="32"/>
      <c r="P286" s="32"/>
    </row>
    <row r="287" spans="1:16" ht="22.5" customHeight="1" x14ac:dyDescent="0.35">
      <c r="A287" s="52"/>
      <c r="B287" s="50" t="s">
        <v>588</v>
      </c>
      <c r="C287" s="54" t="s">
        <v>1441</v>
      </c>
      <c r="D287" s="32">
        <v>1</v>
      </c>
      <c r="E287" s="32"/>
      <c r="F287" s="32"/>
      <c r="G287" s="33"/>
      <c r="H287" s="32"/>
      <c r="I287" s="32"/>
      <c r="J287" s="32"/>
      <c r="K287" s="32"/>
      <c r="L287" s="32"/>
      <c r="M287" s="32"/>
      <c r="N287" s="32"/>
      <c r="O287" s="32"/>
      <c r="P287" s="32"/>
    </row>
    <row r="288" spans="1:16" ht="22.5" customHeight="1" x14ac:dyDescent="0.35">
      <c r="A288" s="52"/>
      <c r="B288" s="50" t="s">
        <v>589</v>
      </c>
      <c r="C288" s="54" t="s">
        <v>1442</v>
      </c>
      <c r="D288" s="32">
        <v>1</v>
      </c>
      <c r="E288" s="32"/>
      <c r="F288" s="32"/>
      <c r="G288" s="33"/>
      <c r="H288" s="32"/>
      <c r="I288" s="32"/>
      <c r="J288" s="32"/>
      <c r="K288" s="32"/>
      <c r="L288" s="32"/>
      <c r="M288" s="32"/>
      <c r="N288" s="32"/>
      <c r="O288" s="32"/>
      <c r="P288" s="32"/>
    </row>
    <row r="289" spans="1:16" ht="22.5" customHeight="1" x14ac:dyDescent="0.35">
      <c r="A289" s="52"/>
      <c r="B289" s="50" t="s">
        <v>590</v>
      </c>
      <c r="C289" s="54" t="s">
        <v>1443</v>
      </c>
      <c r="D289" s="32">
        <v>1</v>
      </c>
      <c r="E289" s="32"/>
      <c r="F289" s="32"/>
      <c r="G289" s="33"/>
      <c r="H289" s="32"/>
      <c r="I289" s="32"/>
      <c r="J289" s="32"/>
      <c r="K289" s="32"/>
      <c r="L289" s="32"/>
      <c r="M289" s="32"/>
      <c r="N289" s="32"/>
      <c r="O289" s="32"/>
      <c r="P289" s="32"/>
    </row>
    <row r="290" spans="1:16" ht="22.5" customHeight="1" x14ac:dyDescent="0.35">
      <c r="A290" s="52"/>
      <c r="B290" s="50" t="s">
        <v>591</v>
      </c>
      <c r="C290" s="54" t="s">
        <v>1444</v>
      </c>
      <c r="D290" s="32">
        <v>1</v>
      </c>
      <c r="E290" s="32"/>
      <c r="F290" s="32"/>
      <c r="G290" s="33"/>
      <c r="H290" s="32"/>
      <c r="I290" s="32"/>
      <c r="J290" s="32"/>
      <c r="K290" s="32">
        <v>1</v>
      </c>
      <c r="L290" s="32">
        <v>10000</v>
      </c>
      <c r="M290" s="32"/>
      <c r="N290" s="32">
        <v>1350</v>
      </c>
      <c r="O290" s="32"/>
      <c r="P290" s="32"/>
    </row>
    <row r="291" spans="1:16" ht="22.5" customHeight="1" x14ac:dyDescent="0.35">
      <c r="A291" s="52"/>
      <c r="B291" s="50" t="s">
        <v>592</v>
      </c>
      <c r="C291" s="54" t="s">
        <v>1445</v>
      </c>
      <c r="D291" s="32">
        <v>1</v>
      </c>
      <c r="E291" s="32"/>
      <c r="F291" s="32"/>
      <c r="G291" s="33"/>
      <c r="H291" s="32"/>
      <c r="I291" s="32"/>
      <c r="J291" s="32"/>
      <c r="K291" s="32"/>
      <c r="L291" s="32"/>
      <c r="M291" s="32"/>
      <c r="N291" s="32"/>
      <c r="O291" s="32"/>
      <c r="P291" s="32"/>
    </row>
    <row r="292" spans="1:16" ht="22.5" customHeight="1" x14ac:dyDescent="0.35">
      <c r="A292" s="52"/>
      <c r="B292" s="50" t="s">
        <v>593</v>
      </c>
      <c r="C292" s="54" t="s">
        <v>1446</v>
      </c>
      <c r="D292" s="32">
        <v>1</v>
      </c>
      <c r="E292" s="32"/>
      <c r="F292" s="32"/>
      <c r="G292" s="33"/>
      <c r="H292" s="32"/>
      <c r="I292" s="32"/>
      <c r="J292" s="32"/>
      <c r="K292" s="32"/>
      <c r="L292" s="32"/>
      <c r="M292" s="32"/>
      <c r="N292" s="32"/>
      <c r="O292" s="32"/>
      <c r="P292" s="32"/>
    </row>
    <row r="293" spans="1:16" ht="22.5" customHeight="1" x14ac:dyDescent="0.35">
      <c r="A293" s="52"/>
      <c r="B293" s="48" t="s">
        <v>123</v>
      </c>
      <c r="D293" s="32">
        <v>1</v>
      </c>
      <c r="E293" s="32">
        <v>4</v>
      </c>
      <c r="F293" s="32">
        <v>20</v>
      </c>
      <c r="G293" s="33">
        <v>10000</v>
      </c>
      <c r="H293" s="32">
        <v>40000</v>
      </c>
      <c r="I293" s="32">
        <v>20</v>
      </c>
      <c r="J293" s="32"/>
      <c r="K293" s="32">
        <v>1</v>
      </c>
      <c r="L293" s="32"/>
      <c r="M293" s="32">
        <v>150000</v>
      </c>
      <c r="N293" s="32"/>
      <c r="O293" s="32"/>
      <c r="P293" s="32">
        <v>15000</v>
      </c>
    </row>
    <row r="294" spans="1:16" ht="22.5" customHeight="1" x14ac:dyDescent="0.35">
      <c r="A294" s="52"/>
      <c r="B294" s="50" t="s">
        <v>594</v>
      </c>
      <c r="C294" s="54" t="s">
        <v>1447</v>
      </c>
      <c r="D294" s="32">
        <v>1</v>
      </c>
      <c r="E294" s="32"/>
      <c r="F294" s="32"/>
      <c r="G294" s="33"/>
      <c r="H294" s="32"/>
      <c r="I294" s="32"/>
      <c r="J294" s="32"/>
      <c r="K294" s="32"/>
      <c r="L294" s="32"/>
      <c r="M294" s="32"/>
      <c r="N294" s="32"/>
      <c r="O294" s="32"/>
      <c r="P294" s="32"/>
    </row>
    <row r="295" spans="1:16" ht="22.5" customHeight="1" x14ac:dyDescent="0.35">
      <c r="A295" s="52"/>
      <c r="B295" s="50" t="s">
        <v>595</v>
      </c>
      <c r="C295" s="54" t="s">
        <v>1448</v>
      </c>
      <c r="D295" s="32">
        <v>1</v>
      </c>
      <c r="E295" s="32"/>
      <c r="F295" s="32"/>
      <c r="G295" s="33"/>
      <c r="H295" s="32"/>
      <c r="I295" s="32"/>
      <c r="J295" s="32"/>
      <c r="K295" s="32"/>
      <c r="L295" s="32"/>
      <c r="M295" s="32"/>
      <c r="N295" s="32"/>
      <c r="O295" s="32"/>
      <c r="P295" s="32"/>
    </row>
    <row r="296" spans="1:16" ht="22.5" customHeight="1" x14ac:dyDescent="0.35">
      <c r="A296" s="52"/>
      <c r="B296" s="50" t="s">
        <v>596</v>
      </c>
      <c r="C296" s="54" t="s">
        <v>1449</v>
      </c>
      <c r="D296" s="32">
        <v>1</v>
      </c>
      <c r="E296" s="32"/>
      <c r="F296" s="32"/>
      <c r="G296" s="33"/>
      <c r="H296" s="32"/>
      <c r="I296" s="32"/>
      <c r="J296" s="32"/>
      <c r="K296" s="32"/>
      <c r="L296" s="32"/>
      <c r="M296" s="32"/>
      <c r="N296" s="32"/>
      <c r="O296" s="32"/>
      <c r="P296" s="32"/>
    </row>
    <row r="297" spans="1:16" ht="22.5" customHeight="1" x14ac:dyDescent="0.35">
      <c r="A297" s="52"/>
      <c r="B297" s="50" t="s">
        <v>597</v>
      </c>
      <c r="C297" s="54" t="s">
        <v>1450</v>
      </c>
      <c r="D297" s="32">
        <v>1</v>
      </c>
      <c r="E297" s="32"/>
      <c r="F297" s="32"/>
      <c r="G297" s="33"/>
      <c r="H297" s="32"/>
      <c r="I297" s="32"/>
      <c r="J297" s="32"/>
      <c r="K297" s="32"/>
      <c r="L297" s="32"/>
      <c r="M297" s="32"/>
      <c r="N297" s="32"/>
      <c r="O297" s="32"/>
      <c r="P297" s="32"/>
    </row>
    <row r="298" spans="1:16" ht="22.5" customHeight="1" x14ac:dyDescent="0.35">
      <c r="A298" s="52"/>
      <c r="B298" s="50" t="s">
        <v>591</v>
      </c>
      <c r="C298" s="54" t="s">
        <v>1451</v>
      </c>
      <c r="D298" s="32">
        <v>12</v>
      </c>
      <c r="E298" s="32"/>
      <c r="F298" s="32"/>
      <c r="G298" s="33"/>
      <c r="H298" s="32"/>
      <c r="I298" s="32"/>
      <c r="J298" s="32"/>
      <c r="K298" s="32">
        <v>1</v>
      </c>
      <c r="L298" s="32">
        <v>10000</v>
      </c>
      <c r="M298" s="32"/>
      <c r="N298" s="32">
        <v>10</v>
      </c>
      <c r="O298" s="32"/>
      <c r="P298" s="32"/>
    </row>
    <row r="299" spans="1:16" ht="22.5" customHeight="1" x14ac:dyDescent="0.35">
      <c r="A299" s="52"/>
      <c r="B299" s="50" t="s">
        <v>592</v>
      </c>
      <c r="C299" s="54" t="s">
        <v>1452</v>
      </c>
      <c r="D299" s="32">
        <v>1</v>
      </c>
      <c r="E299" s="32"/>
      <c r="F299" s="32"/>
      <c r="G299" s="33"/>
      <c r="H299" s="32"/>
      <c r="I299" s="32"/>
      <c r="J299" s="32"/>
      <c r="K299" s="32"/>
      <c r="L299" s="32"/>
      <c r="M299" s="32"/>
      <c r="N299" s="32"/>
      <c r="O299" s="32"/>
      <c r="P299" s="32"/>
    </row>
    <row r="300" spans="1:16" ht="22.5" customHeight="1" x14ac:dyDescent="0.35">
      <c r="A300" s="52"/>
      <c r="B300" s="48" t="s">
        <v>124</v>
      </c>
      <c r="D300" s="32">
        <v>1</v>
      </c>
      <c r="E300" s="32"/>
      <c r="F300" s="32"/>
      <c r="G300" s="33"/>
      <c r="H300" s="32"/>
      <c r="I300" s="32"/>
      <c r="J300" s="32"/>
      <c r="K300" s="32"/>
      <c r="L300" s="32"/>
      <c r="M300" s="32"/>
      <c r="N300" s="32"/>
      <c r="O300" s="32"/>
      <c r="P300" s="32"/>
    </row>
    <row r="301" spans="1:16" ht="22.5" customHeight="1" x14ac:dyDescent="0.35">
      <c r="A301" s="52"/>
      <c r="B301" s="50" t="s">
        <v>598</v>
      </c>
      <c r="C301" s="54" t="s">
        <v>1453</v>
      </c>
      <c r="D301" s="32">
        <v>1</v>
      </c>
      <c r="E301" s="32"/>
      <c r="F301" s="32"/>
      <c r="G301" s="33"/>
      <c r="H301" s="32"/>
      <c r="I301" s="32"/>
      <c r="J301" s="32"/>
      <c r="K301" s="32"/>
      <c r="L301" s="32"/>
      <c r="M301" s="32"/>
      <c r="N301" s="32"/>
      <c r="O301" s="32"/>
      <c r="P301" s="32"/>
    </row>
    <row r="302" spans="1:16" ht="22.5" customHeight="1" x14ac:dyDescent="0.35">
      <c r="A302" s="52"/>
      <c r="B302" s="50" t="s">
        <v>599</v>
      </c>
      <c r="C302" s="54" t="s">
        <v>1454</v>
      </c>
      <c r="D302" s="32">
        <v>1</v>
      </c>
      <c r="E302" s="32"/>
      <c r="F302" s="32"/>
      <c r="G302" s="33"/>
      <c r="H302" s="32"/>
      <c r="I302" s="32"/>
      <c r="J302" s="32"/>
      <c r="K302" s="32">
        <v>1</v>
      </c>
      <c r="L302" s="32"/>
      <c r="M302" s="32"/>
      <c r="N302" s="32">
        <v>1</v>
      </c>
      <c r="O302" s="32"/>
      <c r="P302" s="32">
        <v>1000000</v>
      </c>
    </row>
    <row r="303" spans="1:16" ht="22.5" customHeight="1" x14ac:dyDescent="0.35">
      <c r="A303" s="52"/>
      <c r="B303" s="50" t="s">
        <v>600</v>
      </c>
      <c r="C303" s="54" t="s">
        <v>1455</v>
      </c>
      <c r="D303" s="32">
        <v>1</v>
      </c>
      <c r="E303" s="32"/>
      <c r="F303" s="32"/>
      <c r="G303" s="33"/>
      <c r="H303" s="32"/>
      <c r="I303" s="32"/>
      <c r="J303" s="32"/>
      <c r="K303" s="32">
        <v>1</v>
      </c>
      <c r="L303" s="32">
        <v>1000000</v>
      </c>
      <c r="M303" s="32"/>
      <c r="N303" s="32">
        <v>1</v>
      </c>
      <c r="O303" s="32"/>
      <c r="P303" s="32"/>
    </row>
    <row r="304" spans="1:16" ht="22.5" customHeight="1" x14ac:dyDescent="0.35">
      <c r="A304" s="52"/>
      <c r="B304" s="50" t="s">
        <v>601</v>
      </c>
      <c r="C304" s="54" t="s">
        <v>1456</v>
      </c>
      <c r="D304" s="32"/>
      <c r="E304" s="32"/>
      <c r="F304" s="32"/>
      <c r="G304" s="33"/>
      <c r="H304" s="32"/>
      <c r="I304" s="32"/>
      <c r="J304" s="32"/>
      <c r="K304" s="32"/>
      <c r="L304" s="32"/>
      <c r="M304" s="32"/>
      <c r="N304" s="32"/>
      <c r="O304" s="32"/>
      <c r="P304" s="32"/>
    </row>
    <row r="305" spans="1:16" ht="22.5" customHeight="1" x14ac:dyDescent="0.35">
      <c r="A305" s="52"/>
      <c r="B305" s="48" t="s">
        <v>126</v>
      </c>
      <c r="D305" s="32">
        <v>1</v>
      </c>
      <c r="E305" s="32">
        <v>4</v>
      </c>
      <c r="F305" s="32">
        <v>20</v>
      </c>
      <c r="G305" s="33">
        <v>10000</v>
      </c>
      <c r="H305" s="32">
        <v>40000</v>
      </c>
      <c r="I305" s="32">
        <v>20</v>
      </c>
      <c r="J305" s="32"/>
      <c r="K305" s="32">
        <v>1</v>
      </c>
      <c r="L305" s="32"/>
      <c r="M305" s="32">
        <v>150000</v>
      </c>
      <c r="N305" s="32"/>
      <c r="O305" s="32"/>
      <c r="P305" s="32">
        <v>15000</v>
      </c>
    </row>
    <row r="306" spans="1:16" ht="22.5" customHeight="1" x14ac:dyDescent="0.35">
      <c r="A306" s="52"/>
      <c r="B306" s="50" t="s">
        <v>602</v>
      </c>
      <c r="C306" s="54" t="s">
        <v>1457</v>
      </c>
      <c r="D306" s="32">
        <v>1</v>
      </c>
      <c r="E306" s="32"/>
      <c r="F306" s="32"/>
      <c r="G306" s="33"/>
      <c r="H306" s="32"/>
      <c r="I306" s="32"/>
      <c r="J306" s="32"/>
      <c r="K306" s="32"/>
      <c r="L306" s="32"/>
      <c r="M306" s="32"/>
      <c r="N306" s="32"/>
      <c r="O306" s="32"/>
      <c r="P306" s="32"/>
    </row>
    <row r="307" spans="1:16" ht="22.5" customHeight="1" x14ac:dyDescent="0.35">
      <c r="A307" s="52"/>
      <c r="B307" s="50" t="s">
        <v>603</v>
      </c>
      <c r="C307" s="54" t="s">
        <v>1458</v>
      </c>
      <c r="D307" s="32">
        <v>1</v>
      </c>
      <c r="E307" s="32"/>
      <c r="F307" s="32"/>
      <c r="G307" s="33"/>
      <c r="H307" s="32"/>
      <c r="I307" s="32"/>
      <c r="J307" s="32"/>
      <c r="K307" s="32"/>
      <c r="L307" s="32"/>
      <c r="M307" s="32"/>
      <c r="N307" s="32"/>
      <c r="O307" s="32"/>
      <c r="P307" s="32"/>
    </row>
    <row r="308" spans="1:16" ht="22.5" customHeight="1" x14ac:dyDescent="0.35">
      <c r="A308" s="52"/>
      <c r="B308" s="50" t="s">
        <v>604</v>
      </c>
      <c r="C308" s="54" t="s">
        <v>1459</v>
      </c>
      <c r="D308" s="32">
        <v>12</v>
      </c>
      <c r="E308" s="32"/>
      <c r="F308" s="32"/>
      <c r="G308" s="33"/>
      <c r="H308" s="32"/>
      <c r="I308" s="32"/>
      <c r="J308" s="32"/>
      <c r="K308" s="32">
        <v>1</v>
      </c>
      <c r="L308" s="32">
        <v>250</v>
      </c>
      <c r="M308" s="32"/>
      <c r="N308" s="32">
        <v>10000</v>
      </c>
      <c r="O308" s="32"/>
      <c r="P308" s="32"/>
    </row>
    <row r="309" spans="1:16" ht="22.5" customHeight="1" x14ac:dyDescent="0.35">
      <c r="A309" s="52"/>
      <c r="B309" s="50" t="s">
        <v>605</v>
      </c>
      <c r="C309" s="54" t="s">
        <v>1460</v>
      </c>
      <c r="D309" s="32"/>
      <c r="E309" s="32"/>
      <c r="F309" s="32"/>
      <c r="G309" s="33"/>
      <c r="H309" s="32"/>
      <c r="I309" s="32"/>
      <c r="J309" s="32"/>
      <c r="K309" s="32"/>
      <c r="L309" s="32"/>
      <c r="M309" s="32"/>
      <c r="N309" s="32"/>
      <c r="O309" s="32"/>
      <c r="P309" s="32"/>
    </row>
    <row r="310" spans="1:16" ht="22.5" customHeight="1" x14ac:dyDescent="0.35">
      <c r="A310" s="45"/>
      <c r="B310" s="45" t="s">
        <v>61</v>
      </c>
      <c r="C310" s="46"/>
      <c r="D310" s="32"/>
      <c r="E310" s="32"/>
      <c r="F310" s="32"/>
      <c r="G310" s="33"/>
      <c r="H310" s="32"/>
      <c r="I310" s="32"/>
      <c r="J310" s="32"/>
      <c r="K310" s="32"/>
      <c r="L310" s="32"/>
      <c r="M310" s="32"/>
      <c r="N310" s="32"/>
      <c r="O310" s="32"/>
      <c r="P310" s="32"/>
    </row>
    <row r="311" spans="1:16" ht="22.5" customHeight="1" x14ac:dyDescent="0.35">
      <c r="A311" s="52"/>
      <c r="B311" s="63" t="s">
        <v>127</v>
      </c>
      <c r="C311" s="54" t="s">
        <v>1461</v>
      </c>
      <c r="D311" s="32">
        <v>1</v>
      </c>
      <c r="E311" s="32">
        <v>4</v>
      </c>
      <c r="F311" s="32">
        <v>20</v>
      </c>
      <c r="G311" s="33">
        <v>10000</v>
      </c>
      <c r="H311" s="32">
        <v>40000</v>
      </c>
      <c r="I311" s="32">
        <v>20</v>
      </c>
      <c r="J311" s="32"/>
      <c r="K311" s="32">
        <v>1</v>
      </c>
      <c r="L311" s="32"/>
      <c r="M311" s="32">
        <v>150000</v>
      </c>
      <c r="N311" s="32">
        <v>30</v>
      </c>
      <c r="O311" s="32"/>
      <c r="P311" s="32">
        <v>15000</v>
      </c>
    </row>
    <row r="312" spans="1:16" ht="22.5" customHeight="1" x14ac:dyDescent="0.35">
      <c r="A312" s="52"/>
      <c r="B312" s="50" t="s">
        <v>606</v>
      </c>
      <c r="C312" s="54" t="s">
        <v>1462</v>
      </c>
      <c r="D312" s="32">
        <v>1</v>
      </c>
      <c r="E312" s="32"/>
      <c r="F312" s="32"/>
      <c r="G312" s="33"/>
      <c r="H312" s="32"/>
      <c r="I312" s="32"/>
      <c r="J312" s="32"/>
      <c r="K312" s="32"/>
      <c r="L312" s="32"/>
      <c r="M312" s="32"/>
      <c r="N312" s="32"/>
      <c r="O312" s="32"/>
      <c r="P312" s="32"/>
    </row>
    <row r="313" spans="1:16" ht="22.5" customHeight="1" x14ac:dyDescent="0.35">
      <c r="A313" s="52"/>
      <c r="B313" s="50" t="s">
        <v>607</v>
      </c>
      <c r="C313" s="54" t="s">
        <v>1463</v>
      </c>
      <c r="D313" s="32"/>
      <c r="E313" s="32"/>
      <c r="F313" s="32"/>
      <c r="G313" s="33"/>
      <c r="H313" s="32"/>
      <c r="I313" s="32"/>
      <c r="J313" s="32"/>
      <c r="K313" s="32"/>
      <c r="L313" s="32"/>
      <c r="M313" s="32"/>
      <c r="N313" s="32"/>
      <c r="O313" s="32"/>
      <c r="P313" s="32"/>
    </row>
    <row r="314" spans="1:16" ht="22.5" customHeight="1" x14ac:dyDescent="0.35">
      <c r="A314" s="52"/>
      <c r="B314" s="48" t="s">
        <v>129</v>
      </c>
      <c r="D314" s="32">
        <v>1</v>
      </c>
      <c r="E314" s="32"/>
      <c r="F314" s="32"/>
      <c r="G314" s="33"/>
      <c r="H314" s="32"/>
      <c r="I314" s="32"/>
      <c r="J314" s="32"/>
      <c r="K314" s="32"/>
      <c r="L314" s="32"/>
      <c r="M314" s="32"/>
      <c r="N314" s="32"/>
      <c r="O314" s="32"/>
      <c r="P314" s="32"/>
    </row>
    <row r="315" spans="1:16" ht="22.5" customHeight="1" x14ac:dyDescent="0.35">
      <c r="A315" s="52"/>
      <c r="B315" s="50" t="s">
        <v>608</v>
      </c>
      <c r="C315" s="54" t="s">
        <v>1464</v>
      </c>
      <c r="D315" s="32">
        <v>1</v>
      </c>
      <c r="E315" s="32"/>
      <c r="F315" s="32"/>
      <c r="G315" s="33"/>
      <c r="H315" s="32"/>
      <c r="I315" s="32"/>
      <c r="J315" s="32"/>
      <c r="K315" s="32"/>
      <c r="L315" s="32"/>
      <c r="M315" s="32"/>
      <c r="N315" s="32"/>
      <c r="O315" s="32"/>
      <c r="P315" s="32"/>
    </row>
    <row r="316" spans="1:16" ht="22.5" customHeight="1" x14ac:dyDescent="0.35">
      <c r="A316" s="52"/>
      <c r="B316" s="50" t="s">
        <v>609</v>
      </c>
      <c r="C316" s="54" t="s">
        <v>1465</v>
      </c>
      <c r="D316" s="32"/>
      <c r="E316" s="32"/>
      <c r="F316" s="32"/>
      <c r="G316" s="33"/>
      <c r="H316" s="32"/>
      <c r="I316" s="32"/>
      <c r="J316" s="32"/>
      <c r="K316" s="32"/>
      <c r="L316" s="32"/>
      <c r="M316" s="32"/>
      <c r="N316" s="32"/>
      <c r="O316" s="32"/>
      <c r="P316" s="32"/>
    </row>
    <row r="317" spans="1:16" ht="22.5" customHeight="1" x14ac:dyDescent="0.35">
      <c r="A317" s="52"/>
      <c r="B317" s="48" t="s">
        <v>131</v>
      </c>
      <c r="D317" s="32">
        <v>1</v>
      </c>
      <c r="E317" s="32"/>
      <c r="F317" s="32"/>
      <c r="G317" s="33"/>
      <c r="H317" s="32"/>
      <c r="I317" s="32"/>
      <c r="J317" s="32"/>
      <c r="K317" s="32"/>
      <c r="L317" s="32"/>
      <c r="M317" s="32"/>
      <c r="N317" s="32"/>
      <c r="O317" s="32"/>
      <c r="P317" s="32"/>
    </row>
    <row r="318" spans="1:16" ht="22.5" customHeight="1" x14ac:dyDescent="0.35">
      <c r="A318" s="52"/>
      <c r="B318" s="37" t="s">
        <v>610</v>
      </c>
      <c r="C318" s="54" t="s">
        <v>1466</v>
      </c>
      <c r="D318" s="32">
        <v>1</v>
      </c>
      <c r="E318" s="32"/>
      <c r="F318" s="32"/>
      <c r="G318" s="33"/>
      <c r="H318" s="32"/>
      <c r="I318" s="32"/>
      <c r="J318" s="32"/>
      <c r="K318" s="32"/>
      <c r="L318" s="32"/>
      <c r="M318" s="32"/>
      <c r="N318" s="32"/>
      <c r="O318" s="32"/>
      <c r="P318" s="32"/>
    </row>
    <row r="319" spans="1:16" ht="22.5" customHeight="1" x14ac:dyDescent="0.35">
      <c r="A319" s="52"/>
      <c r="B319" s="50" t="s">
        <v>611</v>
      </c>
      <c r="C319" s="54" t="s">
        <v>1467</v>
      </c>
      <c r="D319" s="32">
        <v>12</v>
      </c>
      <c r="E319" s="32"/>
      <c r="F319" s="32"/>
      <c r="G319" s="33"/>
      <c r="H319" s="32"/>
      <c r="I319" s="32"/>
      <c r="J319" s="32"/>
      <c r="K319" s="32">
        <v>1</v>
      </c>
      <c r="L319" s="32">
        <v>4000</v>
      </c>
      <c r="M319" s="32"/>
      <c r="N319" s="32">
        <v>10</v>
      </c>
      <c r="O319" s="32"/>
      <c r="P319" s="32"/>
    </row>
    <row r="320" spans="1:16" ht="22.5" customHeight="1" x14ac:dyDescent="0.35">
      <c r="A320" s="52"/>
      <c r="B320" s="37" t="s">
        <v>612</v>
      </c>
      <c r="C320" s="54" t="s">
        <v>1468</v>
      </c>
      <c r="D320" s="32"/>
      <c r="E320" s="32"/>
      <c r="F320" s="32"/>
      <c r="G320" s="33"/>
      <c r="H320" s="32"/>
      <c r="I320" s="32"/>
      <c r="J320" s="32"/>
      <c r="K320" s="32"/>
      <c r="L320" s="32"/>
      <c r="M320" s="32"/>
      <c r="N320" s="32"/>
      <c r="O320" s="32"/>
      <c r="P320" s="32"/>
    </row>
    <row r="321" spans="1:16" ht="22.5" customHeight="1" x14ac:dyDescent="0.35">
      <c r="A321" s="52"/>
      <c r="B321" s="48" t="s">
        <v>132</v>
      </c>
      <c r="D321" s="32">
        <v>1</v>
      </c>
      <c r="E321" s="32"/>
      <c r="F321" s="32"/>
      <c r="G321" s="33"/>
      <c r="H321" s="32"/>
      <c r="I321" s="32"/>
      <c r="J321" s="32"/>
      <c r="K321" s="32"/>
      <c r="L321" s="32"/>
      <c r="M321" s="32"/>
      <c r="N321" s="32"/>
      <c r="O321" s="32"/>
      <c r="P321" s="32"/>
    </row>
    <row r="322" spans="1:16" ht="22.5" customHeight="1" x14ac:dyDescent="0.35">
      <c r="A322" s="52"/>
      <c r="B322" s="50" t="s">
        <v>613</v>
      </c>
      <c r="C322" s="54" t="s">
        <v>1469</v>
      </c>
      <c r="D322" s="32">
        <v>1</v>
      </c>
      <c r="E322" s="32"/>
      <c r="F322" s="32"/>
      <c r="G322" s="33"/>
      <c r="H322" s="32"/>
      <c r="I322" s="32"/>
      <c r="J322" s="32"/>
      <c r="K322" s="32">
        <v>1</v>
      </c>
      <c r="L322" s="32"/>
      <c r="M322" s="32"/>
      <c r="N322" s="32">
        <v>1</v>
      </c>
      <c r="O322" s="32">
        <f>75000*100</f>
        <v>7500000</v>
      </c>
      <c r="P322" s="32"/>
    </row>
    <row r="323" spans="1:16" ht="22.5" customHeight="1" x14ac:dyDescent="0.35">
      <c r="A323" s="52"/>
      <c r="B323" s="50" t="s">
        <v>614</v>
      </c>
      <c r="C323" s="54" t="s">
        <v>1470</v>
      </c>
      <c r="D323" s="32">
        <v>1</v>
      </c>
      <c r="E323" s="32"/>
      <c r="F323" s="32"/>
      <c r="G323" s="33"/>
      <c r="H323" s="32"/>
      <c r="I323" s="32"/>
      <c r="J323" s="32"/>
      <c r="K323" s="32"/>
      <c r="L323" s="32"/>
      <c r="M323" s="32"/>
      <c r="N323" s="32"/>
      <c r="O323" s="32"/>
      <c r="P323" s="32"/>
    </row>
    <row r="324" spans="1:16" ht="22.5" customHeight="1" x14ac:dyDescent="0.35">
      <c r="A324" s="52"/>
      <c r="B324" s="50" t="s">
        <v>615</v>
      </c>
      <c r="C324" s="54" t="s">
        <v>1471</v>
      </c>
      <c r="D324" s="32">
        <v>1</v>
      </c>
      <c r="E324" s="32"/>
      <c r="F324" s="32"/>
      <c r="G324" s="33"/>
      <c r="H324" s="32"/>
      <c r="I324" s="32"/>
      <c r="J324" s="32"/>
      <c r="K324" s="32"/>
      <c r="L324" s="32"/>
      <c r="M324" s="32"/>
      <c r="N324" s="32"/>
      <c r="O324" s="32"/>
      <c r="P324" s="32"/>
    </row>
    <row r="325" spans="1:16" ht="22.5" customHeight="1" x14ac:dyDescent="0.35">
      <c r="A325" s="52"/>
      <c r="B325" s="50" t="s">
        <v>616</v>
      </c>
      <c r="C325" s="54" t="s">
        <v>1472</v>
      </c>
      <c r="D325" s="32">
        <v>1</v>
      </c>
      <c r="E325" s="32"/>
      <c r="F325" s="32"/>
      <c r="G325" s="33"/>
      <c r="H325" s="32"/>
      <c r="I325" s="32"/>
      <c r="J325" s="32"/>
      <c r="K325" s="32"/>
      <c r="L325" s="32"/>
      <c r="M325" s="32"/>
      <c r="N325" s="32"/>
      <c r="O325" s="32"/>
      <c r="P325" s="32"/>
    </row>
    <row r="326" spans="1:16" ht="22.5" customHeight="1" x14ac:dyDescent="0.35">
      <c r="A326" s="52"/>
      <c r="B326" s="50" t="s">
        <v>617</v>
      </c>
      <c r="C326" s="54" t="s">
        <v>1473</v>
      </c>
      <c r="D326" s="32">
        <v>12</v>
      </c>
      <c r="E326" s="32"/>
      <c r="F326" s="32"/>
      <c r="G326" s="33"/>
      <c r="H326" s="32"/>
      <c r="I326" s="32"/>
      <c r="J326" s="32"/>
      <c r="K326" s="32">
        <v>1</v>
      </c>
      <c r="L326" s="32">
        <v>80000</v>
      </c>
      <c r="M326" s="32"/>
      <c r="N326" s="32">
        <v>10</v>
      </c>
      <c r="O326" s="32"/>
      <c r="P326" s="32"/>
    </row>
    <row r="327" spans="1:16" ht="22.5" customHeight="1" x14ac:dyDescent="0.35">
      <c r="A327" s="52"/>
      <c r="B327" s="50" t="s">
        <v>618</v>
      </c>
      <c r="C327" s="54" t="s">
        <v>1474</v>
      </c>
      <c r="D327" s="32">
        <v>1</v>
      </c>
      <c r="E327" s="32"/>
      <c r="F327" s="32"/>
      <c r="G327" s="33"/>
      <c r="H327" s="32"/>
      <c r="I327" s="32"/>
      <c r="J327" s="32"/>
      <c r="K327" s="32"/>
      <c r="L327" s="32"/>
      <c r="M327" s="32"/>
      <c r="N327" s="32"/>
      <c r="O327" s="32"/>
      <c r="P327" s="32"/>
    </row>
    <row r="328" spans="1:16" ht="22.5" customHeight="1" x14ac:dyDescent="0.35">
      <c r="A328" s="52"/>
      <c r="B328" s="50" t="s">
        <v>619</v>
      </c>
      <c r="C328" s="54" t="s">
        <v>1475</v>
      </c>
      <c r="D328" s="32">
        <v>1</v>
      </c>
      <c r="E328" s="32"/>
      <c r="F328" s="32"/>
      <c r="G328" s="33"/>
      <c r="H328" s="32"/>
      <c r="I328" s="32"/>
      <c r="J328" s="32"/>
      <c r="K328" s="32"/>
      <c r="L328" s="32"/>
      <c r="M328" s="32"/>
      <c r="N328" s="32"/>
      <c r="O328" s="32"/>
      <c r="P328" s="32"/>
    </row>
    <row r="329" spans="1:16" ht="22.5" customHeight="1" x14ac:dyDescent="0.35">
      <c r="A329" s="52"/>
      <c r="B329" s="50" t="s">
        <v>620</v>
      </c>
      <c r="C329" s="54" t="s">
        <v>1476</v>
      </c>
      <c r="D329" s="32"/>
      <c r="E329" s="32"/>
      <c r="F329" s="32"/>
      <c r="G329" s="33"/>
      <c r="H329" s="32"/>
      <c r="I329" s="32"/>
      <c r="J329" s="32"/>
      <c r="K329" s="32"/>
      <c r="L329" s="32"/>
      <c r="M329" s="32"/>
      <c r="N329" s="32"/>
      <c r="O329" s="32"/>
      <c r="P329" s="32"/>
    </row>
    <row r="330" spans="1:16" ht="22.5" customHeight="1" x14ac:dyDescent="0.35">
      <c r="A330" s="45"/>
      <c r="B330" s="45" t="s">
        <v>63</v>
      </c>
      <c r="C330" s="46"/>
      <c r="D330" s="32"/>
      <c r="E330" s="32"/>
      <c r="F330" s="32"/>
      <c r="G330" s="33"/>
      <c r="H330" s="32"/>
      <c r="I330" s="32"/>
      <c r="J330" s="32"/>
      <c r="K330" s="32"/>
      <c r="L330" s="32"/>
      <c r="M330" s="32"/>
      <c r="N330" s="32"/>
      <c r="O330" s="32"/>
      <c r="P330" s="32"/>
    </row>
    <row r="331" spans="1:16" ht="22.5" customHeight="1" x14ac:dyDescent="0.35">
      <c r="A331" s="52"/>
      <c r="B331" s="48" t="s">
        <v>133</v>
      </c>
      <c r="D331" s="32">
        <v>1</v>
      </c>
      <c r="E331" s="32"/>
      <c r="F331" s="32"/>
      <c r="G331" s="33"/>
      <c r="H331" s="32"/>
      <c r="I331" s="32"/>
      <c r="J331" s="32"/>
      <c r="K331" s="32"/>
      <c r="L331" s="32"/>
      <c r="M331" s="32"/>
      <c r="N331" s="32"/>
      <c r="O331" s="32"/>
      <c r="P331" s="32"/>
    </row>
    <row r="332" spans="1:16" ht="22.5" customHeight="1" x14ac:dyDescent="0.35">
      <c r="A332" s="52"/>
      <c r="B332" s="50" t="s">
        <v>621</v>
      </c>
      <c r="C332" s="54" t="s">
        <v>1477</v>
      </c>
      <c r="D332" s="32">
        <v>1</v>
      </c>
      <c r="E332" s="32"/>
      <c r="F332" s="32"/>
      <c r="G332" s="33"/>
      <c r="H332" s="32"/>
      <c r="I332" s="32"/>
      <c r="J332" s="32"/>
      <c r="K332" s="32"/>
      <c r="L332" s="32"/>
      <c r="M332" s="32"/>
      <c r="N332" s="32"/>
      <c r="O332" s="32"/>
      <c r="P332" s="32"/>
    </row>
    <row r="333" spans="1:16" ht="22.5" customHeight="1" x14ac:dyDescent="0.35">
      <c r="A333" s="52"/>
      <c r="B333" s="50" t="s">
        <v>622</v>
      </c>
      <c r="C333" s="54" t="s">
        <v>1478</v>
      </c>
      <c r="D333" s="32"/>
      <c r="E333" s="32"/>
      <c r="F333" s="32"/>
      <c r="G333" s="33"/>
      <c r="H333" s="32"/>
      <c r="I333" s="32"/>
      <c r="J333" s="32"/>
      <c r="K333" s="32"/>
      <c r="L333" s="32"/>
      <c r="M333" s="32"/>
      <c r="N333" s="32"/>
      <c r="O333" s="32"/>
      <c r="P333" s="32"/>
    </row>
    <row r="334" spans="1:16" ht="22.5" customHeight="1" x14ac:dyDescent="0.35">
      <c r="A334" s="52"/>
      <c r="B334" s="48" t="s">
        <v>134</v>
      </c>
      <c r="D334" s="32">
        <v>1</v>
      </c>
      <c r="E334" s="32">
        <v>4</v>
      </c>
      <c r="F334" s="32">
        <v>20</v>
      </c>
      <c r="G334" s="33">
        <v>10000</v>
      </c>
      <c r="H334" s="32">
        <v>40000</v>
      </c>
      <c r="I334" s="32">
        <v>20</v>
      </c>
      <c r="J334" s="32"/>
      <c r="K334" s="32">
        <v>1</v>
      </c>
      <c r="L334" s="32"/>
      <c r="M334" s="32">
        <v>150000</v>
      </c>
      <c r="N334" s="32">
        <v>30</v>
      </c>
      <c r="O334" s="32">
        <v>2500</v>
      </c>
      <c r="P334" s="32">
        <v>15000</v>
      </c>
    </row>
    <row r="335" spans="1:16" ht="22.5" customHeight="1" x14ac:dyDescent="0.35">
      <c r="A335" s="52"/>
      <c r="B335" s="50" t="s">
        <v>623</v>
      </c>
      <c r="C335" s="54" t="s">
        <v>1479</v>
      </c>
      <c r="D335" s="32">
        <v>1</v>
      </c>
      <c r="E335" s="32"/>
      <c r="F335" s="32"/>
      <c r="G335" s="33"/>
      <c r="H335" s="32"/>
      <c r="I335" s="32"/>
      <c r="J335" s="32"/>
      <c r="K335" s="32"/>
      <c r="L335" s="32"/>
      <c r="M335" s="32"/>
      <c r="N335" s="32"/>
      <c r="O335" s="32"/>
      <c r="P335" s="32"/>
    </row>
    <row r="336" spans="1:16" ht="22.5" customHeight="1" x14ac:dyDescent="0.35">
      <c r="A336" s="52"/>
      <c r="B336" s="50" t="s">
        <v>624</v>
      </c>
      <c r="C336" s="54" t="s">
        <v>1480</v>
      </c>
      <c r="D336" s="32">
        <v>1</v>
      </c>
      <c r="E336" s="32"/>
      <c r="F336" s="32"/>
      <c r="G336" s="33"/>
      <c r="H336" s="32"/>
      <c r="I336" s="32"/>
      <c r="J336" s="32"/>
      <c r="K336" s="32"/>
      <c r="L336" s="32"/>
      <c r="M336" s="32"/>
      <c r="N336" s="32"/>
      <c r="O336" s="32"/>
      <c r="P336" s="32"/>
    </row>
    <row r="337" spans="1:16" ht="22.5" customHeight="1" x14ac:dyDescent="0.35">
      <c r="A337" s="52"/>
      <c r="B337" s="50" t="s">
        <v>625</v>
      </c>
      <c r="C337" s="54" t="s">
        <v>1481</v>
      </c>
      <c r="D337" s="32"/>
      <c r="E337" s="32"/>
      <c r="F337" s="32"/>
      <c r="G337" s="33"/>
      <c r="H337" s="32"/>
      <c r="I337" s="32"/>
      <c r="J337" s="32"/>
      <c r="K337" s="32"/>
      <c r="L337" s="32"/>
      <c r="M337" s="32"/>
      <c r="N337" s="32"/>
      <c r="O337" s="32"/>
      <c r="P337" s="32"/>
    </row>
    <row r="338" spans="1:16" ht="22.5" customHeight="1" x14ac:dyDescent="0.35">
      <c r="A338" s="52"/>
      <c r="B338" s="48" t="s">
        <v>135</v>
      </c>
      <c r="D338" s="32">
        <v>1</v>
      </c>
      <c r="E338" s="32"/>
      <c r="F338" s="32"/>
      <c r="G338" s="33"/>
      <c r="H338" s="32"/>
      <c r="I338" s="32"/>
      <c r="J338" s="32"/>
      <c r="K338" s="32"/>
      <c r="L338" s="32"/>
      <c r="M338" s="32"/>
      <c r="N338" s="32"/>
      <c r="O338" s="32"/>
      <c r="P338" s="32"/>
    </row>
    <row r="339" spans="1:16" ht="22.5" customHeight="1" x14ac:dyDescent="0.35">
      <c r="A339" s="52"/>
      <c r="B339" s="50" t="s">
        <v>626</v>
      </c>
      <c r="C339" s="54" t="s">
        <v>1482</v>
      </c>
      <c r="D339" s="32">
        <v>1</v>
      </c>
      <c r="E339" s="32"/>
      <c r="F339" s="32"/>
      <c r="G339" s="33"/>
      <c r="H339" s="32"/>
      <c r="I339" s="32"/>
      <c r="J339" s="32"/>
      <c r="K339" s="32"/>
      <c r="L339" s="32"/>
      <c r="M339" s="32"/>
      <c r="N339" s="32"/>
      <c r="O339" s="32"/>
      <c r="P339" s="32"/>
    </row>
    <row r="340" spans="1:16" ht="22.5" customHeight="1" x14ac:dyDescent="0.35">
      <c r="A340" s="52"/>
      <c r="B340" s="50" t="s">
        <v>627</v>
      </c>
      <c r="C340" s="54" t="s">
        <v>1483</v>
      </c>
      <c r="D340" s="32">
        <v>1</v>
      </c>
      <c r="E340" s="32"/>
      <c r="F340" s="32"/>
      <c r="G340" s="33"/>
      <c r="H340" s="32"/>
      <c r="I340" s="32"/>
      <c r="J340" s="32"/>
      <c r="K340" s="32"/>
      <c r="L340" s="32"/>
      <c r="M340" s="32"/>
      <c r="N340" s="32"/>
      <c r="O340" s="32"/>
      <c r="P340" s="32"/>
    </row>
    <row r="341" spans="1:16" ht="22.5" customHeight="1" x14ac:dyDescent="0.35">
      <c r="A341" s="52"/>
      <c r="B341" s="50" t="s">
        <v>628</v>
      </c>
      <c r="C341" s="54" t="s">
        <v>1484</v>
      </c>
      <c r="D341" s="32">
        <v>1</v>
      </c>
      <c r="E341" s="32"/>
      <c r="F341" s="32"/>
      <c r="G341" s="33"/>
      <c r="H341" s="32"/>
      <c r="I341" s="32"/>
      <c r="J341" s="32"/>
      <c r="K341" s="32"/>
      <c r="L341" s="32"/>
      <c r="M341" s="32"/>
      <c r="N341" s="32"/>
      <c r="O341" s="32"/>
      <c r="P341" s="32"/>
    </row>
    <row r="342" spans="1:16" ht="22.5" customHeight="1" x14ac:dyDescent="0.35">
      <c r="A342" s="52"/>
      <c r="B342" s="50" t="s">
        <v>629</v>
      </c>
      <c r="C342" s="54" t="s">
        <v>1485</v>
      </c>
      <c r="D342" s="32">
        <v>12</v>
      </c>
      <c r="E342" s="32"/>
      <c r="F342" s="32"/>
      <c r="G342" s="33"/>
      <c r="H342" s="32"/>
      <c r="I342" s="32"/>
      <c r="J342" s="32"/>
      <c r="K342" s="32">
        <v>1</v>
      </c>
      <c r="L342" s="32">
        <v>40000</v>
      </c>
      <c r="M342" s="32"/>
      <c r="N342" s="32">
        <v>10</v>
      </c>
      <c r="O342" s="32"/>
      <c r="P342" s="32"/>
    </row>
    <row r="343" spans="1:16" ht="22.5" customHeight="1" x14ac:dyDescent="0.35">
      <c r="A343" s="52"/>
      <c r="B343" s="50" t="s">
        <v>630</v>
      </c>
      <c r="C343" s="54" t="s">
        <v>1486</v>
      </c>
      <c r="D343" s="32">
        <v>1</v>
      </c>
      <c r="E343" s="32"/>
      <c r="F343" s="32"/>
      <c r="G343" s="33"/>
      <c r="H343" s="32"/>
      <c r="I343" s="32"/>
      <c r="J343" s="32"/>
      <c r="K343" s="32"/>
      <c r="L343" s="32"/>
      <c r="M343" s="32"/>
      <c r="N343" s="32"/>
      <c r="O343" s="32"/>
      <c r="P343" s="32"/>
    </row>
    <row r="344" spans="1:16" ht="22.5" customHeight="1" x14ac:dyDescent="0.35">
      <c r="A344" s="52"/>
      <c r="B344" s="50" t="s">
        <v>631</v>
      </c>
      <c r="C344" s="54" t="s">
        <v>1487</v>
      </c>
      <c r="D344" s="32">
        <v>1</v>
      </c>
      <c r="E344" s="32"/>
      <c r="F344" s="32"/>
      <c r="G344" s="33"/>
      <c r="H344" s="32"/>
      <c r="I344" s="32"/>
      <c r="J344" s="32"/>
      <c r="K344" s="32"/>
      <c r="L344" s="32"/>
      <c r="M344" s="32"/>
      <c r="N344" s="32"/>
      <c r="O344" s="32"/>
      <c r="P344" s="32"/>
    </row>
    <row r="345" spans="1:16" ht="22.5" customHeight="1" x14ac:dyDescent="0.35">
      <c r="A345" s="52"/>
      <c r="B345" s="50" t="s">
        <v>632</v>
      </c>
      <c r="C345" s="54" t="s">
        <v>1488</v>
      </c>
      <c r="D345" s="32"/>
      <c r="E345" s="32"/>
      <c r="F345" s="32"/>
      <c r="G345" s="33"/>
      <c r="H345" s="32"/>
      <c r="I345" s="32"/>
      <c r="J345" s="32"/>
      <c r="K345" s="32"/>
      <c r="L345" s="32"/>
      <c r="M345" s="32"/>
      <c r="N345" s="32"/>
      <c r="O345" s="32"/>
      <c r="P345" s="32"/>
    </row>
    <row r="346" spans="1:16" ht="22.5" customHeight="1" x14ac:dyDescent="0.35">
      <c r="A346" s="43"/>
      <c r="B346" s="43" t="s">
        <v>64</v>
      </c>
      <c r="C346" s="42"/>
      <c r="D346" s="32"/>
      <c r="E346" s="32"/>
      <c r="F346" s="32"/>
      <c r="G346" s="33"/>
      <c r="H346" s="32"/>
      <c r="I346" s="32"/>
      <c r="J346" s="32"/>
      <c r="K346" s="32"/>
      <c r="L346" s="32"/>
      <c r="M346" s="32"/>
      <c r="N346" s="32"/>
      <c r="O346" s="32"/>
      <c r="P346" s="32"/>
    </row>
    <row r="347" spans="1:16" ht="22.5" customHeight="1" x14ac:dyDescent="0.35">
      <c r="A347" s="45"/>
      <c r="B347" s="45" t="s">
        <v>65</v>
      </c>
      <c r="C347" s="46"/>
      <c r="D347" s="32"/>
      <c r="E347" s="32"/>
      <c r="F347" s="32"/>
      <c r="G347" s="33"/>
      <c r="H347" s="32"/>
      <c r="I347" s="32"/>
      <c r="J347" s="32"/>
      <c r="K347" s="32"/>
      <c r="L347" s="32"/>
      <c r="M347" s="32"/>
      <c r="N347" s="32"/>
      <c r="O347" s="32"/>
      <c r="P347" s="32"/>
    </row>
    <row r="348" spans="1:16" ht="22.5" customHeight="1" x14ac:dyDescent="0.35">
      <c r="A348" s="52"/>
      <c r="B348" s="48" t="s">
        <v>136</v>
      </c>
      <c r="D348" s="32">
        <v>1</v>
      </c>
      <c r="E348" s="32">
        <v>42</v>
      </c>
      <c r="F348" s="32">
        <v>82</v>
      </c>
      <c r="G348" s="33">
        <v>0</v>
      </c>
      <c r="H348" s="32">
        <v>10000</v>
      </c>
      <c r="I348" s="32">
        <v>82</v>
      </c>
      <c r="J348" s="32">
        <v>0</v>
      </c>
      <c r="K348" s="32">
        <v>1</v>
      </c>
      <c r="L348" s="32">
        <v>2000</v>
      </c>
      <c r="M348" s="32">
        <v>0</v>
      </c>
      <c r="N348" s="32">
        <v>100</v>
      </c>
      <c r="O348" s="32">
        <v>2500</v>
      </c>
      <c r="P348" s="32">
        <v>2500</v>
      </c>
    </row>
    <row r="349" spans="1:16" ht="22.5" customHeight="1" x14ac:dyDescent="0.35">
      <c r="A349" s="52"/>
      <c r="B349" s="50" t="s">
        <v>633</v>
      </c>
      <c r="C349" s="54" t="s">
        <v>1489</v>
      </c>
      <c r="D349" s="32">
        <v>1</v>
      </c>
      <c r="E349" s="32"/>
      <c r="F349" s="32"/>
      <c r="G349" s="33"/>
      <c r="H349" s="32"/>
      <c r="I349" s="32"/>
      <c r="J349" s="32"/>
      <c r="K349" s="32"/>
      <c r="L349" s="32"/>
      <c r="M349" s="32"/>
      <c r="N349" s="32"/>
      <c r="O349" s="32"/>
      <c r="P349" s="32"/>
    </row>
    <row r="350" spans="1:16" ht="22.5" customHeight="1" x14ac:dyDescent="0.35">
      <c r="A350" s="52"/>
      <c r="B350" s="50" t="s">
        <v>634</v>
      </c>
      <c r="C350" s="54" t="s">
        <v>1490</v>
      </c>
      <c r="D350" s="32">
        <v>1</v>
      </c>
      <c r="E350" s="32">
        <v>38</v>
      </c>
      <c r="F350" s="32"/>
      <c r="G350" s="33"/>
      <c r="H350" s="32">
        <v>25000</v>
      </c>
      <c r="I350" s="32"/>
      <c r="J350" s="32"/>
      <c r="K350" s="32">
        <v>2</v>
      </c>
      <c r="L350" s="32"/>
      <c r="M350" s="32"/>
      <c r="N350" s="32"/>
      <c r="O350" s="32"/>
      <c r="P350" s="32"/>
    </row>
    <row r="351" spans="1:16" ht="22.5" customHeight="1" x14ac:dyDescent="0.35">
      <c r="A351" s="52"/>
      <c r="B351" s="50" t="s">
        <v>635</v>
      </c>
      <c r="C351" s="54" t="s">
        <v>1491</v>
      </c>
      <c r="D351" s="32">
        <v>1</v>
      </c>
      <c r="E351" s="32"/>
      <c r="F351" s="32"/>
      <c r="G351" s="33"/>
      <c r="H351" s="32"/>
      <c r="I351" s="32"/>
      <c r="J351" s="32"/>
      <c r="K351" s="32"/>
      <c r="L351" s="32"/>
      <c r="M351" s="32"/>
      <c r="N351" s="32"/>
      <c r="O351" s="32"/>
      <c r="P351" s="32"/>
    </row>
    <row r="352" spans="1:16" ht="22.5" customHeight="1" x14ac:dyDescent="0.35">
      <c r="A352" s="52"/>
      <c r="B352" s="50" t="s">
        <v>636</v>
      </c>
      <c r="C352" s="54" t="s">
        <v>1492</v>
      </c>
      <c r="D352" s="32">
        <v>1</v>
      </c>
      <c r="E352" s="32"/>
      <c r="F352" s="32"/>
      <c r="G352" s="33"/>
      <c r="H352" s="32"/>
      <c r="I352" s="32"/>
      <c r="J352" s="32"/>
      <c r="K352" s="32"/>
      <c r="L352" s="32"/>
      <c r="M352" s="32"/>
      <c r="N352" s="32"/>
      <c r="O352" s="32"/>
      <c r="P352" s="32"/>
    </row>
    <row r="353" spans="1:16" ht="22.5" customHeight="1" x14ac:dyDescent="0.35">
      <c r="A353" s="52"/>
      <c r="B353" s="50" t="s">
        <v>637</v>
      </c>
      <c r="C353" s="54" t="s">
        <v>1493</v>
      </c>
      <c r="D353" s="32">
        <v>1</v>
      </c>
      <c r="E353" s="32"/>
      <c r="F353" s="32"/>
      <c r="G353" s="33"/>
      <c r="H353" s="32"/>
      <c r="I353" s="32"/>
      <c r="J353" s="32"/>
      <c r="K353" s="32"/>
      <c r="L353" s="32"/>
      <c r="M353" s="32"/>
      <c r="N353" s="32"/>
      <c r="O353" s="32"/>
      <c r="P353" s="32"/>
    </row>
    <row r="354" spans="1:16" ht="22.5" customHeight="1" x14ac:dyDescent="0.35">
      <c r="A354" s="52"/>
      <c r="B354" s="50" t="s">
        <v>638</v>
      </c>
      <c r="C354" s="54" t="s">
        <v>1494</v>
      </c>
      <c r="D354" s="32">
        <v>1</v>
      </c>
      <c r="E354" s="32"/>
      <c r="F354" s="32"/>
      <c r="G354" s="33"/>
      <c r="H354" s="32"/>
      <c r="I354" s="32"/>
      <c r="J354" s="32"/>
      <c r="K354" s="32"/>
      <c r="L354" s="32"/>
      <c r="M354" s="32"/>
      <c r="N354" s="32"/>
      <c r="O354" s="32"/>
      <c r="P354" s="32"/>
    </row>
    <row r="355" spans="1:16" ht="22.5" customHeight="1" x14ac:dyDescent="0.35">
      <c r="A355" s="52"/>
      <c r="B355" s="50" t="s">
        <v>639</v>
      </c>
      <c r="C355" s="54" t="s">
        <v>1495</v>
      </c>
      <c r="D355" s="32">
        <v>1</v>
      </c>
      <c r="E355" s="32"/>
      <c r="F355" s="32"/>
      <c r="G355" s="33"/>
      <c r="H355" s="32"/>
      <c r="I355" s="32"/>
      <c r="J355" s="32"/>
      <c r="K355" s="32"/>
      <c r="L355" s="32"/>
      <c r="M355" s="32"/>
      <c r="N355" s="32"/>
      <c r="O355" s="32"/>
      <c r="P355" s="32"/>
    </row>
    <row r="356" spans="1:16" ht="22.5" customHeight="1" x14ac:dyDescent="0.35">
      <c r="A356" s="52"/>
      <c r="B356" s="50" t="s">
        <v>640</v>
      </c>
      <c r="C356" s="54" t="s">
        <v>1496</v>
      </c>
      <c r="D356" s="32">
        <v>2</v>
      </c>
      <c r="E356" s="32">
        <v>39</v>
      </c>
      <c r="F356" s="32">
        <v>192</v>
      </c>
      <c r="G356" s="33">
        <v>0</v>
      </c>
      <c r="H356" s="32">
        <v>10000</v>
      </c>
      <c r="I356" s="32">
        <v>16</v>
      </c>
      <c r="J356" s="32">
        <v>0</v>
      </c>
      <c r="K356" s="32">
        <v>2</v>
      </c>
      <c r="L356" s="32">
        <v>2000</v>
      </c>
      <c r="M356" s="32">
        <v>0</v>
      </c>
      <c r="N356" s="32">
        <v>247</v>
      </c>
      <c r="O356" s="32">
        <v>2500</v>
      </c>
      <c r="P356" s="32">
        <v>2500</v>
      </c>
    </row>
    <row r="357" spans="1:16" ht="22.5" customHeight="1" x14ac:dyDescent="0.35">
      <c r="A357" s="52"/>
      <c r="B357" s="50" t="s">
        <v>641</v>
      </c>
      <c r="C357" s="54" t="s">
        <v>1497</v>
      </c>
      <c r="D357" s="32">
        <v>1</v>
      </c>
      <c r="E357" s="32"/>
      <c r="F357" s="32"/>
      <c r="G357" s="33"/>
      <c r="H357" s="32"/>
      <c r="I357" s="32"/>
      <c r="J357" s="32"/>
      <c r="K357" s="32"/>
      <c r="L357" s="32"/>
      <c r="M357" s="32"/>
      <c r="N357" s="32"/>
      <c r="O357" s="32"/>
      <c r="P357" s="32"/>
    </row>
    <row r="358" spans="1:16" ht="22.5" customHeight="1" x14ac:dyDescent="0.35">
      <c r="A358" s="52"/>
      <c r="B358" s="48" t="s">
        <v>137</v>
      </c>
      <c r="D358" s="32">
        <v>1</v>
      </c>
      <c r="E358" s="32"/>
      <c r="F358" s="32"/>
      <c r="G358" s="33"/>
      <c r="H358" s="32"/>
      <c r="I358" s="32"/>
      <c r="J358" s="32"/>
      <c r="K358" s="32"/>
      <c r="L358" s="32"/>
      <c r="M358" s="32"/>
      <c r="N358" s="32"/>
      <c r="O358" s="32"/>
      <c r="P358" s="32"/>
    </row>
    <row r="359" spans="1:16" ht="22.5" customHeight="1" x14ac:dyDescent="0.35">
      <c r="A359" s="52"/>
      <c r="B359" s="50" t="s">
        <v>642</v>
      </c>
      <c r="C359" s="54" t="s">
        <v>1498</v>
      </c>
      <c r="D359" s="32">
        <v>1</v>
      </c>
      <c r="E359" s="32"/>
      <c r="F359" s="32"/>
      <c r="G359" s="33"/>
      <c r="H359" s="32"/>
      <c r="I359" s="32"/>
      <c r="J359" s="32"/>
      <c r="K359" s="32"/>
      <c r="L359" s="32"/>
      <c r="M359" s="32"/>
      <c r="N359" s="32"/>
      <c r="O359" s="32"/>
      <c r="P359" s="32"/>
    </row>
    <row r="360" spans="1:16" ht="22.5" customHeight="1" x14ac:dyDescent="0.35">
      <c r="A360" s="52"/>
      <c r="B360" s="50" t="s">
        <v>643</v>
      </c>
      <c r="C360" s="54" t="s">
        <v>1499</v>
      </c>
      <c r="D360" s="32">
        <v>12</v>
      </c>
      <c r="E360" s="32"/>
      <c r="F360" s="32"/>
      <c r="G360" s="33"/>
      <c r="H360" s="32"/>
      <c r="I360" s="32"/>
      <c r="J360" s="32"/>
      <c r="K360" s="32">
        <v>1</v>
      </c>
      <c r="L360" s="32">
        <v>4000</v>
      </c>
      <c r="M360" s="32"/>
      <c r="N360" s="32">
        <v>25</v>
      </c>
      <c r="O360" s="32"/>
      <c r="P360" s="32"/>
    </row>
    <row r="361" spans="1:16" ht="22.5" customHeight="1" x14ac:dyDescent="0.35">
      <c r="A361" s="52"/>
      <c r="B361" s="50" t="s">
        <v>644</v>
      </c>
      <c r="C361" s="54" t="s">
        <v>1500</v>
      </c>
      <c r="D361" s="32">
        <v>1</v>
      </c>
      <c r="E361" s="32"/>
      <c r="F361" s="32"/>
      <c r="G361" s="33"/>
      <c r="H361" s="32"/>
      <c r="I361" s="32"/>
      <c r="J361" s="32"/>
      <c r="K361" s="32"/>
      <c r="L361" s="32"/>
      <c r="M361" s="32"/>
      <c r="N361" s="32"/>
      <c r="O361" s="32"/>
      <c r="P361" s="32"/>
    </row>
    <row r="362" spans="1:16" ht="22.5" customHeight="1" x14ac:dyDescent="0.35">
      <c r="A362" s="52"/>
      <c r="B362" s="50" t="s">
        <v>645</v>
      </c>
      <c r="C362" s="54" t="s">
        <v>1501</v>
      </c>
      <c r="D362" s="32">
        <v>2</v>
      </c>
      <c r="E362" s="32">
        <v>4</v>
      </c>
      <c r="F362" s="32">
        <v>100</v>
      </c>
      <c r="G362" s="33"/>
      <c r="H362" s="32">
        <v>40000</v>
      </c>
      <c r="I362" s="32">
        <v>10</v>
      </c>
      <c r="J362" s="32"/>
      <c r="K362" s="32">
        <v>1</v>
      </c>
      <c r="L362" s="32">
        <v>10000</v>
      </c>
      <c r="M362" s="32">
        <v>300000</v>
      </c>
      <c r="N362" s="32">
        <v>120</v>
      </c>
      <c r="O362" s="32">
        <v>2500</v>
      </c>
      <c r="P362" s="32">
        <v>15000</v>
      </c>
    </row>
    <row r="363" spans="1:16" ht="22.5" customHeight="1" x14ac:dyDescent="0.35">
      <c r="A363" s="52"/>
      <c r="B363" s="50" t="s">
        <v>646</v>
      </c>
      <c r="C363" s="54" t="s">
        <v>1502</v>
      </c>
      <c r="D363" s="32">
        <v>1</v>
      </c>
      <c r="E363" s="32"/>
      <c r="F363" s="32"/>
      <c r="G363" s="33"/>
      <c r="H363" s="32"/>
      <c r="I363" s="32"/>
      <c r="J363" s="32"/>
      <c r="K363" s="32"/>
      <c r="L363" s="32"/>
      <c r="M363" s="32"/>
      <c r="N363" s="32"/>
      <c r="O363" s="32"/>
      <c r="P363" s="32"/>
    </row>
    <row r="364" spans="1:16" ht="22.5" customHeight="1" x14ac:dyDescent="0.35">
      <c r="A364" s="52"/>
      <c r="B364" s="50" t="s">
        <v>647</v>
      </c>
      <c r="C364" s="54" t="s">
        <v>1503</v>
      </c>
      <c r="D364" s="32">
        <v>1</v>
      </c>
      <c r="E364" s="32"/>
      <c r="F364" s="32"/>
      <c r="G364" s="33"/>
      <c r="H364" s="32"/>
      <c r="I364" s="32"/>
      <c r="J364" s="32"/>
      <c r="K364" s="32"/>
      <c r="L364" s="32"/>
      <c r="M364" s="32"/>
      <c r="N364" s="32"/>
      <c r="O364" s="32"/>
      <c r="P364" s="32"/>
    </row>
    <row r="365" spans="1:16" ht="22.5" customHeight="1" x14ac:dyDescent="0.35">
      <c r="A365" s="52"/>
      <c r="B365" s="50" t="s">
        <v>648</v>
      </c>
      <c r="C365" s="54" t="s">
        <v>1504</v>
      </c>
      <c r="D365" s="32">
        <v>1</v>
      </c>
      <c r="E365" s="32"/>
      <c r="F365" s="32"/>
      <c r="G365" s="33"/>
      <c r="H365" s="32"/>
      <c r="I365" s="32"/>
      <c r="J365" s="32"/>
      <c r="K365" s="32"/>
      <c r="L365" s="32"/>
      <c r="M365" s="32"/>
      <c r="N365" s="32"/>
      <c r="O365" s="32"/>
      <c r="P365" s="32"/>
    </row>
    <row r="366" spans="1:16" ht="22.5" customHeight="1" x14ac:dyDescent="0.35">
      <c r="A366" s="52"/>
      <c r="B366" s="50" t="s">
        <v>649</v>
      </c>
      <c r="C366" s="54" t="s">
        <v>1505</v>
      </c>
      <c r="D366" s="32">
        <v>1</v>
      </c>
      <c r="E366" s="32">
        <v>39</v>
      </c>
      <c r="F366" s="32">
        <v>500</v>
      </c>
      <c r="G366" s="33">
        <v>40000</v>
      </c>
      <c r="H366" s="32">
        <v>25000</v>
      </c>
      <c r="I366" s="32">
        <v>8</v>
      </c>
      <c r="J366" s="32">
        <v>0</v>
      </c>
      <c r="K366" s="32">
        <v>5</v>
      </c>
      <c r="L366" s="32">
        <v>10000</v>
      </c>
      <c r="M366" s="32">
        <v>100000</v>
      </c>
      <c r="N366" s="32">
        <v>500</v>
      </c>
      <c r="O366" s="32">
        <v>2500</v>
      </c>
      <c r="P366" s="32">
        <v>15000</v>
      </c>
    </row>
    <row r="367" spans="1:16" ht="22.5" customHeight="1" x14ac:dyDescent="0.35">
      <c r="A367" s="52"/>
      <c r="B367" s="37" t="s">
        <v>650</v>
      </c>
      <c r="C367" s="54" t="s">
        <v>1506</v>
      </c>
      <c r="D367" s="32">
        <v>1</v>
      </c>
      <c r="E367" s="32"/>
      <c r="F367" s="32"/>
      <c r="G367" s="33"/>
      <c r="H367" s="32"/>
      <c r="I367" s="32"/>
      <c r="J367" s="32"/>
      <c r="K367" s="32"/>
      <c r="L367" s="32"/>
      <c r="M367" s="32"/>
      <c r="N367" s="32"/>
      <c r="O367" s="32"/>
      <c r="P367" s="32"/>
    </row>
    <row r="368" spans="1:16" ht="22.5" customHeight="1" x14ac:dyDescent="0.35">
      <c r="A368" s="52"/>
      <c r="B368" s="50" t="s">
        <v>651</v>
      </c>
      <c r="C368" s="54" t="s">
        <v>1507</v>
      </c>
      <c r="D368" s="32">
        <v>4</v>
      </c>
      <c r="E368" s="32">
        <v>60</v>
      </c>
      <c r="F368" s="32">
        <v>0</v>
      </c>
      <c r="G368" s="33">
        <v>40000</v>
      </c>
      <c r="H368" s="32">
        <v>40000</v>
      </c>
      <c r="I368" s="32">
        <v>60</v>
      </c>
      <c r="J368" s="32">
        <v>0</v>
      </c>
      <c r="K368" s="32">
        <v>10</v>
      </c>
      <c r="L368" s="32"/>
      <c r="M368" s="32">
        <v>0</v>
      </c>
      <c r="N368" s="32"/>
      <c r="O368" s="32"/>
      <c r="P368" s="32"/>
    </row>
    <row r="369" spans="1:16" ht="22.5" customHeight="1" x14ac:dyDescent="0.35">
      <c r="A369" s="52"/>
      <c r="B369" s="50" t="s">
        <v>652</v>
      </c>
      <c r="C369" s="54" t="s">
        <v>1508</v>
      </c>
      <c r="D369" s="32"/>
      <c r="E369" s="32"/>
      <c r="F369" s="32"/>
      <c r="G369" s="33"/>
      <c r="H369" s="32"/>
      <c r="I369" s="32"/>
      <c r="J369" s="32"/>
      <c r="K369" s="32"/>
      <c r="L369" s="32"/>
      <c r="M369" s="32"/>
      <c r="N369" s="32"/>
      <c r="O369" s="32"/>
      <c r="P369" s="32"/>
    </row>
    <row r="370" spans="1:16" ht="22.5" customHeight="1" x14ac:dyDescent="0.35">
      <c r="A370" s="52"/>
      <c r="B370" s="48" t="s">
        <v>138</v>
      </c>
      <c r="D370" s="32">
        <v>1</v>
      </c>
      <c r="E370" s="32"/>
      <c r="F370" s="32"/>
      <c r="G370" s="33"/>
      <c r="H370" s="32"/>
      <c r="I370" s="32"/>
      <c r="J370" s="32"/>
      <c r="K370" s="32"/>
      <c r="L370" s="32"/>
      <c r="M370" s="32"/>
      <c r="N370" s="32"/>
      <c r="O370" s="32"/>
      <c r="P370" s="32"/>
    </row>
    <row r="371" spans="1:16" ht="22.5" customHeight="1" x14ac:dyDescent="0.35">
      <c r="A371" s="52"/>
      <c r="B371" s="50" t="s">
        <v>653</v>
      </c>
      <c r="C371" s="54" t="s">
        <v>1509</v>
      </c>
      <c r="D371" s="32">
        <v>1</v>
      </c>
      <c r="E371" s="32"/>
      <c r="F371" s="32"/>
      <c r="G371" s="33"/>
      <c r="H371" s="32"/>
      <c r="I371" s="32"/>
      <c r="J371" s="32"/>
      <c r="K371" s="32"/>
      <c r="L371" s="32"/>
      <c r="M371" s="32"/>
      <c r="N371" s="32"/>
      <c r="O371" s="32"/>
      <c r="P371" s="32"/>
    </row>
    <row r="372" spans="1:16" ht="22.5" customHeight="1" x14ac:dyDescent="0.35">
      <c r="A372" s="52"/>
      <c r="B372" s="50" t="s">
        <v>654</v>
      </c>
      <c r="C372" s="54" t="s">
        <v>1510</v>
      </c>
      <c r="D372" s="32">
        <v>1</v>
      </c>
      <c r="E372" s="32"/>
      <c r="F372" s="32"/>
      <c r="G372" s="33"/>
      <c r="H372" s="32"/>
      <c r="I372" s="32"/>
      <c r="J372" s="32"/>
      <c r="K372" s="32"/>
      <c r="L372" s="32"/>
      <c r="M372" s="32"/>
      <c r="N372" s="32"/>
      <c r="O372" s="32"/>
      <c r="P372" s="32"/>
    </row>
    <row r="373" spans="1:16" ht="22.5" customHeight="1" x14ac:dyDescent="0.35">
      <c r="A373" s="52"/>
      <c r="B373" s="50" t="s">
        <v>557</v>
      </c>
      <c r="C373" s="54" t="s">
        <v>1511</v>
      </c>
      <c r="D373" s="32">
        <v>1</v>
      </c>
      <c r="E373" s="32"/>
      <c r="F373" s="32"/>
      <c r="G373" s="33"/>
      <c r="H373" s="32"/>
      <c r="I373" s="32"/>
      <c r="J373" s="32"/>
      <c r="K373" s="32"/>
      <c r="L373" s="32"/>
      <c r="M373" s="32"/>
      <c r="N373" s="32"/>
      <c r="O373" s="32"/>
      <c r="P373" s="32"/>
    </row>
    <row r="374" spans="1:16" ht="22.5" customHeight="1" x14ac:dyDescent="0.35">
      <c r="A374" s="52"/>
      <c r="B374" s="50" t="s">
        <v>655</v>
      </c>
      <c r="C374" s="54" t="s">
        <v>1512</v>
      </c>
      <c r="D374" s="32">
        <v>1</v>
      </c>
      <c r="E374" s="32"/>
      <c r="F374" s="32"/>
      <c r="G374" s="33"/>
      <c r="H374" s="32"/>
      <c r="I374" s="32"/>
      <c r="J374" s="32"/>
      <c r="K374" s="32"/>
      <c r="L374" s="32"/>
      <c r="M374" s="32"/>
      <c r="N374" s="32"/>
      <c r="O374" s="32"/>
      <c r="P374" s="32"/>
    </row>
    <row r="375" spans="1:16" ht="22.5" customHeight="1" x14ac:dyDescent="0.35">
      <c r="A375" s="52"/>
      <c r="B375" s="50" t="s">
        <v>656</v>
      </c>
      <c r="C375" s="54" t="s">
        <v>1513</v>
      </c>
      <c r="D375" s="32">
        <v>1</v>
      </c>
      <c r="E375" s="32"/>
      <c r="F375" s="32"/>
      <c r="G375" s="33"/>
      <c r="H375" s="32"/>
      <c r="I375" s="32"/>
      <c r="J375" s="32"/>
      <c r="K375" s="32"/>
      <c r="L375" s="32"/>
      <c r="M375" s="32"/>
      <c r="N375" s="32"/>
      <c r="O375" s="32"/>
      <c r="P375" s="32"/>
    </row>
    <row r="376" spans="1:16" ht="22.5" customHeight="1" x14ac:dyDescent="0.35">
      <c r="A376" s="52"/>
      <c r="B376" s="37" t="s">
        <v>657</v>
      </c>
      <c r="C376" s="54" t="s">
        <v>1514</v>
      </c>
      <c r="D376" s="32">
        <v>1</v>
      </c>
      <c r="E376" s="32"/>
      <c r="F376" s="32"/>
      <c r="G376" s="33"/>
      <c r="H376" s="32"/>
      <c r="I376" s="32"/>
      <c r="J376" s="32"/>
      <c r="K376" s="32"/>
      <c r="L376" s="32"/>
      <c r="M376" s="32"/>
      <c r="N376" s="32"/>
      <c r="O376" s="32"/>
      <c r="P376" s="32"/>
    </row>
    <row r="377" spans="1:16" ht="22.5" customHeight="1" x14ac:dyDescent="0.35">
      <c r="A377" s="52"/>
      <c r="B377" s="37" t="s">
        <v>658</v>
      </c>
      <c r="C377" s="54" t="s">
        <v>1515</v>
      </c>
      <c r="D377" s="32">
        <v>1</v>
      </c>
      <c r="E377" s="32"/>
      <c r="F377" s="32"/>
      <c r="G377" s="33"/>
      <c r="H377" s="32"/>
      <c r="I377" s="32"/>
      <c r="J377" s="32"/>
      <c r="K377" s="32"/>
      <c r="L377" s="32"/>
      <c r="M377" s="32"/>
      <c r="N377" s="32"/>
      <c r="O377" s="32"/>
      <c r="P377" s="32"/>
    </row>
    <row r="378" spans="1:16" ht="22.5" customHeight="1" x14ac:dyDescent="0.35">
      <c r="A378" s="52"/>
      <c r="B378" s="37" t="s">
        <v>659</v>
      </c>
      <c r="C378" s="54" t="s">
        <v>1516</v>
      </c>
      <c r="D378" s="32">
        <v>1</v>
      </c>
      <c r="E378" s="32"/>
      <c r="F378" s="32"/>
      <c r="G378" s="33"/>
      <c r="H378" s="32"/>
      <c r="I378" s="32"/>
      <c r="J378" s="32"/>
      <c r="K378" s="32"/>
      <c r="L378" s="32"/>
      <c r="M378" s="32"/>
      <c r="N378" s="32"/>
      <c r="O378" s="32"/>
      <c r="P378" s="32"/>
    </row>
    <row r="379" spans="1:16" ht="22.5" customHeight="1" x14ac:dyDescent="0.35">
      <c r="A379" s="52"/>
      <c r="B379" s="37" t="s">
        <v>660</v>
      </c>
      <c r="C379" s="54" t="s">
        <v>1517</v>
      </c>
      <c r="D379" s="32"/>
      <c r="E379" s="32"/>
      <c r="F379" s="32"/>
      <c r="G379" s="33"/>
      <c r="H379" s="32"/>
      <c r="I379" s="32"/>
      <c r="J379" s="32"/>
      <c r="K379" s="32"/>
      <c r="L379" s="32"/>
      <c r="M379" s="32"/>
      <c r="N379" s="32"/>
      <c r="O379" s="32"/>
      <c r="P379" s="32"/>
    </row>
    <row r="380" spans="1:16" ht="22.5" customHeight="1" x14ac:dyDescent="0.35">
      <c r="A380" s="52"/>
      <c r="B380" s="48" t="s">
        <v>139</v>
      </c>
      <c r="D380" s="32">
        <v>1</v>
      </c>
      <c r="E380" s="32"/>
      <c r="F380" s="32"/>
      <c r="G380" s="33"/>
      <c r="H380" s="32"/>
      <c r="I380" s="32"/>
      <c r="J380" s="32"/>
      <c r="K380" s="32"/>
      <c r="L380" s="32"/>
      <c r="M380" s="32"/>
      <c r="N380" s="32"/>
      <c r="O380" s="32"/>
      <c r="P380" s="32"/>
    </row>
    <row r="381" spans="1:16" ht="22.5" customHeight="1" x14ac:dyDescent="0.35">
      <c r="A381" s="52"/>
      <c r="B381" s="37" t="s">
        <v>661</v>
      </c>
      <c r="C381" s="54" t="s">
        <v>1518</v>
      </c>
      <c r="D381" s="32">
        <v>1</v>
      </c>
      <c r="E381" s="32"/>
      <c r="F381" s="32"/>
      <c r="G381" s="33"/>
      <c r="H381" s="32"/>
      <c r="I381" s="32"/>
      <c r="J381" s="32"/>
      <c r="K381" s="32"/>
      <c r="L381" s="32"/>
      <c r="M381" s="32"/>
      <c r="N381" s="32"/>
      <c r="O381" s="32"/>
      <c r="P381" s="32"/>
    </row>
    <row r="382" spans="1:16" ht="22.5" customHeight="1" x14ac:dyDescent="0.35">
      <c r="A382" s="52"/>
      <c r="B382" s="50" t="s">
        <v>662</v>
      </c>
      <c r="C382" s="54" t="s">
        <v>1519</v>
      </c>
      <c r="D382" s="32">
        <v>1</v>
      </c>
      <c r="E382" s="32"/>
      <c r="F382" s="32"/>
      <c r="G382" s="33"/>
      <c r="H382" s="32"/>
      <c r="I382" s="32"/>
      <c r="J382" s="32"/>
      <c r="K382" s="32"/>
      <c r="L382" s="32"/>
      <c r="M382" s="32"/>
      <c r="N382" s="32"/>
      <c r="O382" s="32"/>
      <c r="P382" s="32"/>
    </row>
    <row r="383" spans="1:16" ht="22.5" customHeight="1" x14ac:dyDescent="0.35">
      <c r="A383" s="52"/>
      <c r="B383" s="50" t="s">
        <v>663</v>
      </c>
      <c r="C383" s="54" t="s">
        <v>1520</v>
      </c>
      <c r="D383" s="32">
        <v>2</v>
      </c>
      <c r="E383" s="32"/>
      <c r="F383" s="32"/>
      <c r="G383" s="33"/>
      <c r="H383" s="32"/>
      <c r="I383" s="32"/>
      <c r="J383" s="32"/>
      <c r="K383" s="32">
        <v>1</v>
      </c>
      <c r="L383" s="32"/>
      <c r="M383" s="32"/>
      <c r="N383" s="32">
        <v>1</v>
      </c>
      <c r="O383" s="32">
        <v>200000</v>
      </c>
      <c r="P383" s="32"/>
    </row>
    <row r="384" spans="1:16" ht="22.5" customHeight="1" x14ac:dyDescent="0.35">
      <c r="A384" s="52"/>
      <c r="B384" s="50" t="s">
        <v>664</v>
      </c>
      <c r="C384" s="54" t="s">
        <v>1521</v>
      </c>
      <c r="D384" s="32">
        <v>1</v>
      </c>
      <c r="E384" s="32"/>
      <c r="F384" s="32"/>
      <c r="G384" s="33"/>
      <c r="H384" s="32"/>
      <c r="I384" s="32"/>
      <c r="J384" s="32"/>
      <c r="K384" s="32"/>
      <c r="L384" s="32"/>
      <c r="M384" s="32"/>
      <c r="N384" s="32"/>
      <c r="O384" s="32"/>
      <c r="P384" s="32"/>
    </row>
    <row r="385" spans="1:16" ht="22.5" customHeight="1" x14ac:dyDescent="0.35">
      <c r="A385" s="52"/>
      <c r="B385" s="50" t="s">
        <v>665</v>
      </c>
      <c r="C385" s="54" t="s">
        <v>1522</v>
      </c>
      <c r="D385" s="32">
        <v>12</v>
      </c>
      <c r="E385" s="32">
        <v>10</v>
      </c>
      <c r="F385" s="32"/>
      <c r="G385" s="33"/>
      <c r="H385" s="32"/>
      <c r="I385" s="32"/>
      <c r="J385" s="32"/>
      <c r="K385" s="32">
        <v>1</v>
      </c>
      <c r="L385" s="32">
        <v>2000</v>
      </c>
      <c r="M385" s="32"/>
      <c r="N385" s="32">
        <v>10</v>
      </c>
      <c r="O385" s="32"/>
      <c r="P385" s="32"/>
    </row>
    <row r="386" spans="1:16" ht="22.5" customHeight="1" x14ac:dyDescent="0.35">
      <c r="A386" s="52"/>
      <c r="B386" s="50" t="s">
        <v>666</v>
      </c>
      <c r="C386" s="54" t="s">
        <v>1523</v>
      </c>
      <c r="D386" s="32">
        <v>1</v>
      </c>
      <c r="E386" s="32"/>
      <c r="F386" s="32"/>
      <c r="G386" s="33"/>
      <c r="H386" s="32"/>
      <c r="I386" s="32"/>
      <c r="J386" s="32"/>
      <c r="K386" s="32"/>
      <c r="L386" s="32"/>
      <c r="M386" s="32"/>
      <c r="N386" s="32"/>
      <c r="O386" s="32"/>
      <c r="P386" s="32"/>
    </row>
    <row r="387" spans="1:16" ht="22.5" customHeight="1" x14ac:dyDescent="0.35">
      <c r="A387" s="52"/>
      <c r="B387" s="50" t="s">
        <v>667</v>
      </c>
      <c r="C387" s="54" t="s">
        <v>1524</v>
      </c>
      <c r="D387" s="32">
        <v>1</v>
      </c>
      <c r="E387" s="32"/>
      <c r="F387" s="32"/>
      <c r="G387" s="33"/>
      <c r="H387" s="32"/>
      <c r="I387" s="32"/>
      <c r="J387" s="32"/>
      <c r="K387" s="32"/>
      <c r="L387" s="32"/>
      <c r="M387" s="32"/>
      <c r="N387" s="32"/>
      <c r="O387" s="32"/>
      <c r="P387" s="32"/>
    </row>
    <row r="388" spans="1:16" ht="22.5" customHeight="1" x14ac:dyDescent="0.35">
      <c r="A388" s="52"/>
      <c r="B388" s="48" t="s">
        <v>140</v>
      </c>
      <c r="D388" s="32">
        <v>1</v>
      </c>
      <c r="E388" s="32"/>
      <c r="F388" s="32"/>
      <c r="G388" s="33"/>
      <c r="H388" s="32"/>
      <c r="I388" s="32"/>
      <c r="J388" s="32"/>
      <c r="K388" s="32"/>
      <c r="L388" s="32"/>
      <c r="M388" s="32"/>
      <c r="N388" s="32"/>
      <c r="O388" s="32"/>
      <c r="P388" s="32"/>
    </row>
    <row r="389" spans="1:16" ht="22.5" customHeight="1" x14ac:dyDescent="0.35">
      <c r="A389" s="52"/>
      <c r="B389" s="50" t="s">
        <v>668</v>
      </c>
      <c r="C389" s="54" t="s">
        <v>1525</v>
      </c>
      <c r="D389" s="32">
        <v>1</v>
      </c>
      <c r="E389" s="32"/>
      <c r="F389" s="32"/>
      <c r="G389" s="33"/>
      <c r="H389" s="32"/>
      <c r="I389" s="32"/>
      <c r="J389" s="32"/>
      <c r="K389" s="32"/>
      <c r="L389" s="32"/>
      <c r="M389" s="32"/>
      <c r="N389" s="32"/>
      <c r="O389" s="32"/>
      <c r="P389" s="32"/>
    </row>
    <row r="390" spans="1:16" ht="22.5" customHeight="1" x14ac:dyDescent="0.35">
      <c r="A390" s="52"/>
      <c r="B390" s="50" t="s">
        <v>669</v>
      </c>
      <c r="C390" s="54" t="s">
        <v>1526</v>
      </c>
      <c r="D390" s="32">
        <v>1</v>
      </c>
      <c r="E390" s="32"/>
      <c r="F390" s="32"/>
      <c r="G390" s="33"/>
      <c r="H390" s="32"/>
      <c r="I390" s="32"/>
      <c r="J390" s="32"/>
      <c r="K390" s="32"/>
      <c r="L390" s="32"/>
      <c r="M390" s="32"/>
      <c r="N390" s="32"/>
      <c r="O390" s="32"/>
      <c r="P390" s="32"/>
    </row>
    <row r="391" spans="1:16" ht="22.5" customHeight="1" x14ac:dyDescent="0.35">
      <c r="A391" s="52"/>
      <c r="B391" s="50" t="s">
        <v>670</v>
      </c>
      <c r="C391" s="54" t="s">
        <v>1527</v>
      </c>
      <c r="D391" s="32">
        <v>1</v>
      </c>
      <c r="E391" s="32"/>
      <c r="F391" s="32"/>
      <c r="G391" s="33"/>
      <c r="H391" s="32"/>
      <c r="I391" s="32"/>
      <c r="J391" s="32"/>
      <c r="K391" s="32"/>
      <c r="L391" s="32"/>
      <c r="M391" s="32"/>
      <c r="N391" s="32"/>
      <c r="O391" s="32"/>
      <c r="P391" s="32"/>
    </row>
    <row r="392" spans="1:16" ht="22.5" customHeight="1" x14ac:dyDescent="0.35">
      <c r="A392" s="52"/>
      <c r="B392" s="50" t="s">
        <v>671</v>
      </c>
      <c r="C392" s="54" t="s">
        <v>1528</v>
      </c>
      <c r="D392" s="32">
        <v>1</v>
      </c>
      <c r="E392" s="32"/>
      <c r="F392" s="32"/>
      <c r="G392" s="33"/>
      <c r="H392" s="32"/>
      <c r="I392" s="32"/>
      <c r="J392" s="32"/>
      <c r="K392" s="32"/>
      <c r="L392" s="32"/>
      <c r="M392" s="32"/>
      <c r="N392" s="32"/>
      <c r="O392" s="32"/>
      <c r="P392" s="32"/>
    </row>
    <row r="393" spans="1:16" ht="22.5" customHeight="1" x14ac:dyDescent="0.35">
      <c r="A393" s="52"/>
      <c r="B393" s="50" t="s">
        <v>672</v>
      </c>
      <c r="C393" s="54" t="s">
        <v>1529</v>
      </c>
      <c r="D393" s="32">
        <v>1</v>
      </c>
      <c r="E393" s="32"/>
      <c r="F393" s="32"/>
      <c r="G393" s="33"/>
      <c r="H393" s="32"/>
      <c r="I393" s="32"/>
      <c r="J393" s="32"/>
      <c r="K393" s="32"/>
      <c r="L393" s="32"/>
      <c r="M393" s="32"/>
      <c r="N393" s="32"/>
      <c r="O393" s="32"/>
      <c r="P393" s="32"/>
    </row>
    <row r="394" spans="1:16" ht="22.5" customHeight="1" x14ac:dyDescent="0.35">
      <c r="A394" s="52"/>
      <c r="B394" s="50" t="s">
        <v>673</v>
      </c>
      <c r="C394" s="54" t="s">
        <v>1530</v>
      </c>
      <c r="D394" s="32">
        <v>1</v>
      </c>
      <c r="E394" s="32"/>
      <c r="F394" s="32"/>
      <c r="G394" s="33"/>
      <c r="H394" s="32"/>
      <c r="I394" s="32"/>
      <c r="J394" s="32"/>
      <c r="K394" s="32"/>
      <c r="L394" s="32"/>
      <c r="M394" s="32"/>
      <c r="N394" s="32"/>
      <c r="O394" s="32"/>
      <c r="P394" s="32"/>
    </row>
    <row r="395" spans="1:16" ht="22.5" customHeight="1" x14ac:dyDescent="0.35">
      <c r="A395" s="52"/>
      <c r="B395" s="50" t="s">
        <v>674</v>
      </c>
      <c r="C395" s="54" t="s">
        <v>1531</v>
      </c>
      <c r="D395" s="32"/>
      <c r="E395" s="32"/>
      <c r="F395" s="32"/>
      <c r="G395" s="33"/>
      <c r="H395" s="32"/>
      <c r="I395" s="32"/>
      <c r="J395" s="32"/>
      <c r="K395" s="32"/>
      <c r="L395" s="32"/>
      <c r="M395" s="32"/>
      <c r="N395" s="32"/>
      <c r="O395" s="32"/>
      <c r="P395" s="32"/>
    </row>
    <row r="396" spans="1:16" ht="22.5" customHeight="1" x14ac:dyDescent="0.35">
      <c r="A396" s="45"/>
      <c r="B396" s="45" t="s">
        <v>67</v>
      </c>
      <c r="C396" s="46"/>
      <c r="D396" s="32"/>
      <c r="E396" s="32"/>
      <c r="F396" s="32"/>
      <c r="G396" s="33"/>
      <c r="H396" s="32"/>
      <c r="I396" s="32"/>
      <c r="J396" s="32"/>
      <c r="K396" s="32"/>
      <c r="L396" s="32"/>
      <c r="M396" s="32"/>
      <c r="N396" s="32"/>
      <c r="O396" s="32"/>
      <c r="P396" s="32"/>
    </row>
    <row r="397" spans="1:16" ht="22.5" customHeight="1" x14ac:dyDescent="0.35">
      <c r="A397" s="52"/>
      <c r="B397" s="48" t="s">
        <v>141</v>
      </c>
      <c r="D397" s="32">
        <v>1</v>
      </c>
      <c r="E397" s="32"/>
      <c r="F397" s="32"/>
      <c r="G397" s="33"/>
      <c r="H397" s="32"/>
      <c r="I397" s="32"/>
      <c r="J397" s="32"/>
      <c r="K397" s="32"/>
      <c r="L397" s="32"/>
      <c r="M397" s="32"/>
      <c r="N397" s="32"/>
      <c r="O397" s="32"/>
      <c r="P397" s="32"/>
    </row>
    <row r="398" spans="1:16" ht="22.5" customHeight="1" x14ac:dyDescent="0.35">
      <c r="A398" s="52"/>
      <c r="B398" s="50" t="s">
        <v>675</v>
      </c>
      <c r="C398" s="54" t="s">
        <v>1532</v>
      </c>
      <c r="D398" s="32">
        <v>1</v>
      </c>
      <c r="E398" s="32"/>
      <c r="F398" s="32"/>
      <c r="G398" s="33"/>
      <c r="H398" s="32"/>
      <c r="I398" s="32"/>
      <c r="J398" s="32"/>
      <c r="K398" s="32"/>
      <c r="L398" s="32"/>
      <c r="M398" s="32"/>
      <c r="N398" s="32"/>
      <c r="O398" s="32"/>
      <c r="P398" s="32"/>
    </row>
    <row r="399" spans="1:16" ht="22.5" customHeight="1" x14ac:dyDescent="0.35">
      <c r="A399" s="52"/>
      <c r="B399" s="50" t="s">
        <v>676</v>
      </c>
      <c r="C399" s="54" t="s">
        <v>1533</v>
      </c>
      <c r="D399" s="32">
        <v>1</v>
      </c>
      <c r="E399" s="32"/>
      <c r="F399" s="32"/>
      <c r="G399" s="33"/>
      <c r="H399" s="32"/>
      <c r="I399" s="32"/>
      <c r="J399" s="32"/>
      <c r="K399" s="32"/>
      <c r="L399" s="32"/>
      <c r="M399" s="32"/>
      <c r="N399" s="32"/>
      <c r="O399" s="32"/>
      <c r="P399" s="32"/>
    </row>
    <row r="400" spans="1:16" ht="22.5" customHeight="1" x14ac:dyDescent="0.35">
      <c r="A400" s="52"/>
      <c r="B400" s="50" t="s">
        <v>677</v>
      </c>
      <c r="C400" s="54" t="s">
        <v>1534</v>
      </c>
      <c r="D400" s="32">
        <v>1</v>
      </c>
      <c r="E400" s="32"/>
      <c r="F400" s="32"/>
      <c r="G400" s="33"/>
      <c r="H400" s="32"/>
      <c r="I400" s="32"/>
      <c r="J400" s="32"/>
      <c r="K400" s="32"/>
      <c r="L400" s="32"/>
      <c r="M400" s="32"/>
      <c r="N400" s="32"/>
      <c r="O400" s="32"/>
      <c r="P400" s="32"/>
    </row>
    <row r="401" spans="1:16" ht="22.5" customHeight="1" x14ac:dyDescent="0.35">
      <c r="A401" s="52"/>
      <c r="B401" s="50" t="s">
        <v>678</v>
      </c>
      <c r="C401" s="54" t="s">
        <v>1535</v>
      </c>
      <c r="D401" s="32">
        <v>1</v>
      </c>
      <c r="E401" s="32"/>
      <c r="F401" s="32"/>
      <c r="G401" s="33"/>
      <c r="H401" s="32"/>
      <c r="I401" s="32"/>
      <c r="J401" s="32"/>
      <c r="K401" s="32"/>
      <c r="L401" s="32"/>
      <c r="M401" s="32"/>
      <c r="N401" s="32"/>
      <c r="O401" s="32"/>
      <c r="P401" s="32"/>
    </row>
    <row r="402" spans="1:16" ht="22.5" customHeight="1" x14ac:dyDescent="0.35">
      <c r="A402" s="52"/>
      <c r="B402" s="50" t="s">
        <v>679</v>
      </c>
      <c r="C402" s="54" t="s">
        <v>1536</v>
      </c>
      <c r="D402" s="32">
        <v>1</v>
      </c>
      <c r="E402" s="32"/>
      <c r="F402" s="32"/>
      <c r="G402" s="33"/>
      <c r="H402" s="32"/>
      <c r="I402" s="32"/>
      <c r="J402" s="32"/>
      <c r="K402" s="32"/>
      <c r="L402" s="32"/>
      <c r="M402" s="32"/>
      <c r="N402" s="32"/>
      <c r="O402" s="32"/>
      <c r="P402" s="32"/>
    </row>
    <row r="403" spans="1:16" ht="22.5" customHeight="1" x14ac:dyDescent="0.35">
      <c r="A403" s="52"/>
      <c r="B403" s="50" t="s">
        <v>680</v>
      </c>
      <c r="C403" s="54" t="s">
        <v>1537</v>
      </c>
      <c r="D403" s="32">
        <v>1</v>
      </c>
      <c r="E403" s="32"/>
      <c r="F403" s="32"/>
      <c r="G403" s="33"/>
      <c r="H403" s="32"/>
      <c r="I403" s="32"/>
      <c r="J403" s="32"/>
      <c r="K403" s="32"/>
      <c r="L403" s="32"/>
      <c r="M403" s="32"/>
      <c r="N403" s="32"/>
      <c r="O403" s="32"/>
      <c r="P403" s="32"/>
    </row>
    <row r="404" spans="1:16" ht="22.5" customHeight="1" x14ac:dyDescent="0.35">
      <c r="A404" s="52"/>
      <c r="B404" s="50" t="s">
        <v>681</v>
      </c>
      <c r="C404" s="54" t="s">
        <v>1538</v>
      </c>
      <c r="D404" s="32">
        <v>1</v>
      </c>
      <c r="E404" s="32"/>
      <c r="F404" s="32"/>
      <c r="G404" s="33"/>
      <c r="H404" s="32"/>
      <c r="I404" s="32"/>
      <c r="J404" s="32"/>
      <c r="K404" s="32"/>
      <c r="L404" s="32"/>
      <c r="M404" s="32"/>
      <c r="N404" s="32"/>
      <c r="O404" s="32"/>
      <c r="P404" s="32"/>
    </row>
    <row r="405" spans="1:16" ht="22.5" customHeight="1" x14ac:dyDescent="0.35">
      <c r="A405" s="52"/>
      <c r="B405" s="48" t="s">
        <v>142</v>
      </c>
      <c r="D405" s="32">
        <v>1</v>
      </c>
      <c r="E405" s="32"/>
      <c r="F405" s="32"/>
      <c r="G405" s="33"/>
      <c r="H405" s="32"/>
      <c r="I405" s="32"/>
      <c r="J405" s="32"/>
      <c r="K405" s="32"/>
      <c r="L405" s="32"/>
      <c r="M405" s="32"/>
      <c r="N405" s="32"/>
      <c r="O405" s="32"/>
      <c r="P405" s="32"/>
    </row>
    <row r="406" spans="1:16" ht="22.5" customHeight="1" x14ac:dyDescent="0.35">
      <c r="A406" s="52"/>
      <c r="B406" s="50" t="s">
        <v>682</v>
      </c>
      <c r="C406" s="54" t="s">
        <v>1539</v>
      </c>
      <c r="D406" s="32">
        <v>1</v>
      </c>
      <c r="E406" s="32"/>
      <c r="F406" s="32"/>
      <c r="G406" s="33"/>
      <c r="H406" s="32"/>
      <c r="I406" s="32"/>
      <c r="J406" s="32"/>
      <c r="K406" s="32"/>
      <c r="L406" s="32"/>
      <c r="M406" s="32"/>
      <c r="N406" s="32"/>
      <c r="O406" s="32"/>
      <c r="P406" s="32"/>
    </row>
    <row r="407" spans="1:16" ht="22.5" customHeight="1" x14ac:dyDescent="0.35">
      <c r="A407" s="52"/>
      <c r="B407" s="50" t="s">
        <v>683</v>
      </c>
      <c r="C407" s="54" t="s">
        <v>1540</v>
      </c>
      <c r="D407" s="32">
        <v>1</v>
      </c>
      <c r="E407" s="32"/>
      <c r="F407" s="32"/>
      <c r="G407" s="33"/>
      <c r="H407" s="32"/>
      <c r="I407" s="32"/>
      <c r="J407" s="32"/>
      <c r="K407" s="32"/>
      <c r="L407" s="32"/>
      <c r="M407" s="32"/>
      <c r="N407" s="32"/>
      <c r="O407" s="32"/>
      <c r="P407" s="32"/>
    </row>
    <row r="408" spans="1:16" ht="22.5" customHeight="1" x14ac:dyDescent="0.35">
      <c r="A408" s="52"/>
      <c r="B408" s="50" t="s">
        <v>684</v>
      </c>
      <c r="C408" s="54" t="s">
        <v>1541</v>
      </c>
      <c r="D408" s="32">
        <v>1</v>
      </c>
      <c r="E408" s="32"/>
      <c r="F408" s="32"/>
      <c r="G408" s="33"/>
      <c r="H408" s="32"/>
      <c r="I408" s="32"/>
      <c r="J408" s="32"/>
      <c r="K408" s="32"/>
      <c r="L408" s="32"/>
      <c r="M408" s="32"/>
      <c r="N408" s="32"/>
      <c r="O408" s="32"/>
      <c r="P408" s="32"/>
    </row>
    <row r="409" spans="1:16" ht="22.5" customHeight="1" x14ac:dyDescent="0.35">
      <c r="A409" s="52"/>
      <c r="B409" s="50" t="s">
        <v>685</v>
      </c>
      <c r="C409" s="54" t="s">
        <v>1542</v>
      </c>
      <c r="D409" s="32">
        <v>1</v>
      </c>
      <c r="E409" s="32"/>
      <c r="F409" s="32"/>
      <c r="G409" s="33"/>
      <c r="H409" s="32"/>
      <c r="I409" s="32"/>
      <c r="J409" s="32"/>
      <c r="K409" s="32"/>
      <c r="L409" s="32"/>
      <c r="M409" s="32"/>
      <c r="N409" s="32"/>
      <c r="O409" s="32"/>
      <c r="P409" s="32"/>
    </row>
    <row r="410" spans="1:16" ht="22.5" customHeight="1" x14ac:dyDescent="0.35">
      <c r="A410" s="52"/>
      <c r="B410" s="50" t="s">
        <v>686</v>
      </c>
      <c r="C410" s="54" t="s">
        <v>1543</v>
      </c>
      <c r="D410" s="32">
        <v>1</v>
      </c>
      <c r="E410" s="32"/>
      <c r="F410" s="32"/>
      <c r="G410" s="33"/>
      <c r="H410" s="32"/>
      <c r="I410" s="32"/>
      <c r="J410" s="32"/>
      <c r="K410" s="32"/>
      <c r="L410" s="32"/>
      <c r="M410" s="32"/>
      <c r="N410" s="32"/>
      <c r="O410" s="32"/>
      <c r="P410" s="32"/>
    </row>
    <row r="411" spans="1:16" ht="22.5" customHeight="1" x14ac:dyDescent="0.35">
      <c r="A411" s="52"/>
      <c r="B411" s="50" t="s">
        <v>687</v>
      </c>
      <c r="C411" s="54" t="s">
        <v>1544</v>
      </c>
      <c r="D411" s="32">
        <v>1</v>
      </c>
      <c r="E411" s="32"/>
      <c r="F411" s="32"/>
      <c r="G411" s="33"/>
      <c r="H411" s="32"/>
      <c r="I411" s="32"/>
      <c r="J411" s="32"/>
      <c r="K411" s="32"/>
      <c r="L411" s="32"/>
      <c r="M411" s="32"/>
      <c r="N411" s="32"/>
      <c r="O411" s="32"/>
      <c r="P411" s="32"/>
    </row>
    <row r="412" spans="1:16" ht="22.5" customHeight="1" x14ac:dyDescent="0.35">
      <c r="A412" s="52"/>
      <c r="B412" s="50" t="s">
        <v>688</v>
      </c>
      <c r="C412" s="54" t="s">
        <v>1545</v>
      </c>
      <c r="D412" s="32">
        <v>1</v>
      </c>
      <c r="E412" s="32"/>
      <c r="F412" s="32"/>
      <c r="G412" s="33"/>
      <c r="H412" s="32"/>
      <c r="I412" s="32"/>
      <c r="J412" s="32"/>
      <c r="K412" s="32"/>
      <c r="L412" s="32"/>
      <c r="M412" s="32"/>
      <c r="N412" s="32"/>
      <c r="O412" s="32"/>
      <c r="P412" s="32"/>
    </row>
    <row r="413" spans="1:16" ht="22.5" customHeight="1" x14ac:dyDescent="0.35">
      <c r="A413" s="52"/>
      <c r="B413" s="48" t="s">
        <v>143</v>
      </c>
      <c r="C413" s="64"/>
      <c r="D413" s="32">
        <v>1</v>
      </c>
      <c r="E413" s="32"/>
      <c r="F413" s="32"/>
      <c r="G413" s="33"/>
      <c r="H413" s="32"/>
      <c r="I413" s="32"/>
      <c r="J413" s="32"/>
      <c r="K413" s="32"/>
      <c r="L413" s="32"/>
      <c r="M413" s="32"/>
      <c r="N413" s="32"/>
      <c r="O413" s="32"/>
      <c r="P413" s="32"/>
    </row>
    <row r="414" spans="1:16" ht="22.5" customHeight="1" x14ac:dyDescent="0.35">
      <c r="A414" s="52"/>
      <c r="B414" s="50" t="s">
        <v>689</v>
      </c>
      <c r="C414" s="54" t="s">
        <v>1546</v>
      </c>
      <c r="D414" s="32">
        <v>1</v>
      </c>
      <c r="E414" s="32"/>
      <c r="F414" s="32"/>
      <c r="G414" s="33"/>
      <c r="H414" s="32"/>
      <c r="I414" s="32"/>
      <c r="J414" s="32"/>
      <c r="K414" s="32"/>
      <c r="L414" s="32"/>
      <c r="M414" s="32"/>
      <c r="N414" s="32"/>
      <c r="O414" s="32"/>
      <c r="P414" s="32"/>
    </row>
    <row r="415" spans="1:16" ht="22.5" customHeight="1" x14ac:dyDescent="0.35">
      <c r="A415" s="52"/>
      <c r="B415" s="50" t="s">
        <v>690</v>
      </c>
      <c r="C415" s="54" t="s">
        <v>1547</v>
      </c>
      <c r="D415" s="32">
        <v>1</v>
      </c>
      <c r="E415" s="32"/>
      <c r="F415" s="32"/>
      <c r="G415" s="33"/>
      <c r="H415" s="32"/>
      <c r="I415" s="32"/>
      <c r="J415" s="32"/>
      <c r="K415" s="32"/>
      <c r="L415" s="32"/>
      <c r="M415" s="32"/>
      <c r="N415" s="32"/>
      <c r="O415" s="32"/>
      <c r="P415" s="32"/>
    </row>
    <row r="416" spans="1:16" ht="22.5" customHeight="1" x14ac:dyDescent="0.35">
      <c r="A416" s="52"/>
      <c r="B416" s="50" t="s">
        <v>691</v>
      </c>
      <c r="C416" s="54" t="s">
        <v>1548</v>
      </c>
      <c r="D416" s="32">
        <v>1</v>
      </c>
      <c r="E416" s="32"/>
      <c r="F416" s="32"/>
      <c r="G416" s="33"/>
      <c r="H416" s="32"/>
      <c r="I416" s="32"/>
      <c r="J416" s="32"/>
      <c r="K416" s="32"/>
      <c r="L416" s="32"/>
      <c r="M416" s="32"/>
      <c r="N416" s="32"/>
      <c r="O416" s="32"/>
      <c r="P416" s="32"/>
    </row>
    <row r="417" spans="1:16" ht="22.5" customHeight="1" x14ac:dyDescent="0.35">
      <c r="A417" s="52"/>
      <c r="B417" s="50" t="s">
        <v>692</v>
      </c>
      <c r="C417" s="54" t="s">
        <v>1549</v>
      </c>
      <c r="D417" s="32">
        <v>1</v>
      </c>
      <c r="E417" s="32"/>
      <c r="F417" s="32"/>
      <c r="G417" s="33"/>
      <c r="H417" s="32"/>
      <c r="I417" s="32"/>
      <c r="J417" s="32"/>
      <c r="K417" s="32"/>
      <c r="L417" s="32"/>
      <c r="M417" s="32"/>
      <c r="N417" s="32"/>
      <c r="O417" s="32"/>
      <c r="P417" s="32"/>
    </row>
    <row r="418" spans="1:16" ht="22.5" customHeight="1" x14ac:dyDescent="0.35">
      <c r="A418" s="52"/>
      <c r="B418" s="50" t="s">
        <v>693</v>
      </c>
      <c r="C418" s="54" t="s">
        <v>1550</v>
      </c>
      <c r="D418" s="32">
        <v>1</v>
      </c>
      <c r="E418" s="32"/>
      <c r="F418" s="32"/>
      <c r="G418" s="33"/>
      <c r="H418" s="32"/>
      <c r="I418" s="32"/>
      <c r="J418" s="32"/>
      <c r="K418" s="32"/>
      <c r="L418" s="32"/>
      <c r="M418" s="32"/>
      <c r="N418" s="32"/>
      <c r="O418" s="32"/>
      <c r="P418" s="32"/>
    </row>
    <row r="419" spans="1:16" ht="22.5" customHeight="1" x14ac:dyDescent="0.35">
      <c r="A419" s="52"/>
      <c r="B419" s="48" t="s">
        <v>144</v>
      </c>
      <c r="D419" s="32">
        <v>1</v>
      </c>
      <c r="E419" s="32"/>
      <c r="F419" s="32"/>
      <c r="G419" s="33"/>
      <c r="H419" s="32"/>
      <c r="I419" s="32"/>
      <c r="J419" s="32"/>
      <c r="K419" s="32"/>
      <c r="L419" s="32"/>
      <c r="M419" s="32"/>
      <c r="N419" s="32"/>
      <c r="O419" s="32"/>
      <c r="P419" s="32"/>
    </row>
    <row r="420" spans="1:16" ht="22.5" customHeight="1" x14ac:dyDescent="0.35">
      <c r="A420" s="52"/>
      <c r="B420" s="50" t="s">
        <v>694</v>
      </c>
      <c r="C420" s="54" t="s">
        <v>1551</v>
      </c>
      <c r="D420" s="32">
        <v>1</v>
      </c>
      <c r="E420" s="32"/>
      <c r="F420" s="32"/>
      <c r="G420" s="33"/>
      <c r="H420" s="32"/>
      <c r="I420" s="32"/>
      <c r="J420" s="32"/>
      <c r="K420" s="32"/>
      <c r="L420" s="32"/>
      <c r="M420" s="32"/>
      <c r="N420" s="32"/>
      <c r="O420" s="32"/>
      <c r="P420" s="32"/>
    </row>
    <row r="421" spans="1:16" ht="22.5" customHeight="1" x14ac:dyDescent="0.35">
      <c r="A421" s="52"/>
      <c r="B421" s="50" t="s">
        <v>695</v>
      </c>
      <c r="C421" s="54" t="s">
        <v>1552</v>
      </c>
      <c r="D421" s="32">
        <v>1</v>
      </c>
      <c r="E421" s="32"/>
      <c r="F421" s="32"/>
      <c r="G421" s="33"/>
      <c r="H421" s="32"/>
      <c r="I421" s="32"/>
      <c r="J421" s="32"/>
      <c r="K421" s="32"/>
      <c r="L421" s="32"/>
      <c r="M421" s="32"/>
      <c r="N421" s="32"/>
      <c r="O421" s="32"/>
      <c r="P421" s="32"/>
    </row>
    <row r="422" spans="1:16" ht="22.5" customHeight="1" x14ac:dyDescent="0.35">
      <c r="A422" s="52"/>
      <c r="B422" s="50" t="s">
        <v>696</v>
      </c>
      <c r="C422" s="54" t="s">
        <v>1553</v>
      </c>
      <c r="D422" s="32">
        <v>1</v>
      </c>
      <c r="E422" s="32"/>
      <c r="F422" s="32"/>
      <c r="G422" s="33"/>
      <c r="H422" s="32"/>
      <c r="I422" s="32"/>
      <c r="J422" s="32"/>
      <c r="K422" s="32"/>
      <c r="L422" s="32"/>
      <c r="M422" s="32"/>
      <c r="N422" s="32"/>
      <c r="O422" s="32"/>
      <c r="P422" s="32"/>
    </row>
    <row r="423" spans="1:16" ht="22.5" customHeight="1" x14ac:dyDescent="0.35">
      <c r="A423" s="52"/>
      <c r="B423" s="50" t="s">
        <v>697</v>
      </c>
      <c r="C423" s="54" t="s">
        <v>1554</v>
      </c>
      <c r="D423" s="32">
        <v>1</v>
      </c>
      <c r="E423" s="32"/>
      <c r="F423" s="32"/>
      <c r="G423" s="33"/>
      <c r="H423" s="32"/>
      <c r="I423" s="32"/>
      <c r="J423" s="32"/>
      <c r="K423" s="32"/>
      <c r="L423" s="32"/>
      <c r="M423" s="32"/>
      <c r="N423" s="32"/>
      <c r="O423" s="32"/>
      <c r="P423" s="32"/>
    </row>
    <row r="424" spans="1:16" ht="22.5" customHeight="1" x14ac:dyDescent="0.35">
      <c r="A424" s="52"/>
      <c r="B424" s="50" t="s">
        <v>698</v>
      </c>
      <c r="C424" s="54" t="s">
        <v>1555</v>
      </c>
      <c r="D424" s="32">
        <v>1</v>
      </c>
      <c r="E424" s="32"/>
      <c r="F424" s="32"/>
      <c r="G424" s="33"/>
      <c r="H424" s="32"/>
      <c r="I424" s="32"/>
      <c r="J424" s="32"/>
      <c r="K424" s="32"/>
      <c r="L424" s="32"/>
      <c r="M424" s="32"/>
      <c r="N424" s="32"/>
      <c r="O424" s="32"/>
      <c r="P424" s="32"/>
    </row>
    <row r="425" spans="1:16" ht="22.5" customHeight="1" x14ac:dyDescent="0.35">
      <c r="A425" s="52"/>
      <c r="B425" s="50" t="s">
        <v>699</v>
      </c>
      <c r="C425" s="54" t="s">
        <v>1556</v>
      </c>
      <c r="D425" s="32">
        <v>1</v>
      </c>
      <c r="E425" s="32"/>
      <c r="F425" s="32"/>
      <c r="G425" s="33"/>
      <c r="H425" s="32"/>
      <c r="I425" s="32"/>
      <c r="J425" s="32"/>
      <c r="K425" s="32"/>
      <c r="L425" s="32"/>
      <c r="M425" s="32"/>
      <c r="N425" s="32"/>
      <c r="O425" s="32"/>
      <c r="P425" s="32"/>
    </row>
    <row r="426" spans="1:16" ht="22.5" customHeight="1" x14ac:dyDescent="0.35">
      <c r="A426" s="52"/>
      <c r="B426" s="50" t="s">
        <v>700</v>
      </c>
      <c r="C426" s="54" t="s">
        <v>1557</v>
      </c>
      <c r="D426" s="32">
        <v>1</v>
      </c>
      <c r="E426" s="32"/>
      <c r="F426" s="32"/>
      <c r="G426" s="33"/>
      <c r="H426" s="32"/>
      <c r="I426" s="32"/>
      <c r="J426" s="32"/>
      <c r="K426" s="32"/>
      <c r="L426" s="32"/>
      <c r="M426" s="32"/>
      <c r="N426" s="32"/>
      <c r="O426" s="32"/>
      <c r="P426" s="32"/>
    </row>
    <row r="427" spans="1:16" ht="22.5" customHeight="1" x14ac:dyDescent="0.35">
      <c r="A427" s="52"/>
      <c r="B427" s="50" t="s">
        <v>701</v>
      </c>
      <c r="C427" s="54" t="s">
        <v>1558</v>
      </c>
      <c r="D427" s="32"/>
      <c r="E427" s="32"/>
      <c r="F427" s="32"/>
      <c r="G427" s="33"/>
      <c r="H427" s="32"/>
      <c r="I427" s="32"/>
      <c r="J427" s="32"/>
      <c r="K427" s="32"/>
      <c r="L427" s="32"/>
      <c r="M427" s="32"/>
      <c r="N427" s="32"/>
      <c r="O427" s="32"/>
      <c r="P427" s="32"/>
    </row>
    <row r="428" spans="1:16" ht="22.5" customHeight="1" x14ac:dyDescent="0.35">
      <c r="A428" s="45"/>
      <c r="B428" s="45" t="s">
        <v>69</v>
      </c>
      <c r="C428" s="46"/>
      <c r="D428" s="32"/>
      <c r="E428" s="32"/>
      <c r="F428" s="32"/>
      <c r="G428" s="33"/>
      <c r="H428" s="32"/>
      <c r="I428" s="32"/>
      <c r="J428" s="32"/>
      <c r="K428" s="32"/>
      <c r="L428" s="32"/>
      <c r="M428" s="32"/>
      <c r="N428" s="32"/>
      <c r="O428" s="32"/>
      <c r="P428" s="32"/>
    </row>
    <row r="429" spans="1:16" ht="22.5" customHeight="1" x14ac:dyDescent="0.35">
      <c r="A429" s="52"/>
      <c r="B429" s="48" t="s">
        <v>145</v>
      </c>
      <c r="D429" s="32">
        <v>1</v>
      </c>
      <c r="E429" s="32"/>
      <c r="F429" s="32">
        <v>49</v>
      </c>
      <c r="G429" s="33"/>
      <c r="H429" s="32"/>
      <c r="I429" s="32"/>
      <c r="J429" s="32"/>
      <c r="K429" s="32">
        <v>1</v>
      </c>
      <c r="L429" s="32"/>
      <c r="M429" s="32"/>
      <c r="N429" s="32">
        <v>1</v>
      </c>
      <c r="O429" s="32">
        <v>10000000</v>
      </c>
      <c r="P429" s="32">
        <v>0</v>
      </c>
    </row>
    <row r="430" spans="1:16" ht="22.5" customHeight="1" x14ac:dyDescent="0.35">
      <c r="A430" s="52"/>
      <c r="B430" s="50" t="s">
        <v>702</v>
      </c>
      <c r="C430" s="54" t="s">
        <v>1559</v>
      </c>
      <c r="D430" s="32">
        <v>1</v>
      </c>
      <c r="E430" s="32"/>
      <c r="F430" s="32"/>
      <c r="G430" s="33"/>
      <c r="H430" s="32"/>
      <c r="I430" s="32"/>
      <c r="J430" s="32"/>
      <c r="K430" s="32"/>
      <c r="L430" s="32"/>
      <c r="M430" s="32"/>
      <c r="N430" s="32"/>
      <c r="O430" s="32"/>
      <c r="P430" s="32"/>
    </row>
    <row r="431" spans="1:16" ht="22.5" customHeight="1" x14ac:dyDescent="0.35">
      <c r="A431" s="52"/>
      <c r="B431" s="50" t="s">
        <v>703</v>
      </c>
      <c r="C431" s="54" t="s">
        <v>1560</v>
      </c>
      <c r="D431" s="32">
        <v>1</v>
      </c>
      <c r="E431" s="32">
        <v>4</v>
      </c>
      <c r="F431" s="32">
        <v>10</v>
      </c>
      <c r="G431" s="33"/>
      <c r="H431" s="32">
        <v>40000</v>
      </c>
      <c r="I431" s="32">
        <v>10</v>
      </c>
      <c r="J431" s="32"/>
      <c r="K431" s="32">
        <v>2</v>
      </c>
      <c r="L431" s="32">
        <v>10000</v>
      </c>
      <c r="M431" s="32">
        <v>300000</v>
      </c>
      <c r="N431" s="32">
        <v>25</v>
      </c>
      <c r="O431" s="32">
        <v>2500</v>
      </c>
      <c r="P431" s="32">
        <v>15000</v>
      </c>
    </row>
    <row r="432" spans="1:16" ht="22.5" customHeight="1" x14ac:dyDescent="0.35">
      <c r="A432" s="52"/>
      <c r="B432" s="50" t="s">
        <v>704</v>
      </c>
      <c r="C432" s="54" t="s">
        <v>1561</v>
      </c>
      <c r="D432" s="32">
        <v>1</v>
      </c>
      <c r="E432" s="32"/>
      <c r="F432" s="32"/>
      <c r="G432" s="33"/>
      <c r="H432" s="32"/>
      <c r="I432" s="32"/>
      <c r="J432" s="32"/>
      <c r="K432" s="32"/>
      <c r="L432" s="32"/>
      <c r="M432" s="32"/>
      <c r="N432" s="32"/>
      <c r="O432" s="32"/>
      <c r="P432" s="32"/>
    </row>
    <row r="433" spans="1:16" ht="22.5" customHeight="1" x14ac:dyDescent="0.35">
      <c r="A433" s="52"/>
      <c r="B433" s="50" t="s">
        <v>705</v>
      </c>
      <c r="C433" s="54" t="s">
        <v>1562</v>
      </c>
      <c r="D433" s="32">
        <v>1</v>
      </c>
      <c r="E433" s="32"/>
      <c r="F433" s="32"/>
      <c r="G433" s="53"/>
      <c r="H433" s="32"/>
      <c r="I433" s="32"/>
      <c r="J433" s="32"/>
      <c r="K433" s="32"/>
      <c r="L433" s="32"/>
      <c r="M433" s="32"/>
      <c r="N433" s="32"/>
      <c r="O433" s="32"/>
      <c r="P433" s="32"/>
    </row>
    <row r="434" spans="1:16" ht="22.5" customHeight="1" x14ac:dyDescent="0.35">
      <c r="A434" s="52"/>
      <c r="B434" s="50" t="s">
        <v>706</v>
      </c>
      <c r="C434" s="54" t="s">
        <v>1563</v>
      </c>
      <c r="D434" s="32"/>
      <c r="E434" s="32"/>
      <c r="F434" s="32"/>
      <c r="G434" s="53"/>
      <c r="H434" s="32"/>
      <c r="I434" s="32"/>
      <c r="J434" s="32"/>
      <c r="K434" s="32"/>
      <c r="L434" s="32"/>
      <c r="M434" s="32"/>
      <c r="N434" s="32"/>
      <c r="O434" s="32"/>
      <c r="P434" s="32"/>
    </row>
    <row r="435" spans="1:16" ht="22.5" customHeight="1" x14ac:dyDescent="0.35">
      <c r="A435" s="52"/>
      <c r="B435" s="48" t="s">
        <v>146</v>
      </c>
      <c r="D435" s="32">
        <v>1</v>
      </c>
      <c r="E435" s="32"/>
      <c r="F435" s="32"/>
      <c r="G435" s="53"/>
      <c r="H435" s="32"/>
      <c r="I435" s="32"/>
      <c r="J435" s="32"/>
      <c r="K435" s="32"/>
      <c r="L435" s="32"/>
      <c r="M435" s="32"/>
      <c r="N435" s="32"/>
      <c r="O435" s="32"/>
      <c r="P435" s="32"/>
    </row>
    <row r="436" spans="1:16" ht="22.5" customHeight="1" x14ac:dyDescent="0.35">
      <c r="A436" s="52"/>
      <c r="B436" s="50" t="s">
        <v>707</v>
      </c>
      <c r="C436" s="54" t="s">
        <v>1564</v>
      </c>
      <c r="D436" s="32">
        <v>2</v>
      </c>
      <c r="E436" s="32">
        <v>4</v>
      </c>
      <c r="F436" s="32">
        <v>50</v>
      </c>
      <c r="G436" s="53"/>
      <c r="H436" s="32">
        <v>25000</v>
      </c>
      <c r="I436" s="32"/>
      <c r="J436" s="32"/>
      <c r="K436" s="32">
        <v>2</v>
      </c>
      <c r="L436" s="32">
        <v>10000</v>
      </c>
      <c r="M436" s="32"/>
      <c r="N436" s="32">
        <v>60</v>
      </c>
      <c r="O436" s="32"/>
      <c r="P436" s="32">
        <v>2500</v>
      </c>
    </row>
    <row r="437" spans="1:16" ht="22.5" customHeight="1" x14ac:dyDescent="0.35">
      <c r="A437" s="52"/>
      <c r="B437" s="50" t="s">
        <v>708</v>
      </c>
      <c r="C437" s="54" t="s">
        <v>1565</v>
      </c>
      <c r="D437" s="32">
        <v>1</v>
      </c>
      <c r="E437" s="32"/>
      <c r="F437" s="32"/>
      <c r="G437" s="53"/>
      <c r="H437" s="32"/>
      <c r="I437" s="32"/>
      <c r="J437" s="32"/>
      <c r="K437" s="32">
        <v>2</v>
      </c>
      <c r="L437" s="32">
        <v>500000</v>
      </c>
      <c r="M437" s="32"/>
      <c r="N437" s="32"/>
      <c r="O437" s="32"/>
      <c r="P437" s="32"/>
    </row>
    <row r="438" spans="1:16" ht="22.5" customHeight="1" x14ac:dyDescent="0.35">
      <c r="A438" s="52"/>
      <c r="B438" s="50" t="s">
        <v>709</v>
      </c>
      <c r="C438" s="54" t="s">
        <v>1566</v>
      </c>
      <c r="D438" s="32">
        <v>12</v>
      </c>
      <c r="E438" s="32"/>
      <c r="F438" s="32"/>
      <c r="G438" s="53"/>
      <c r="H438" s="32"/>
      <c r="I438" s="32"/>
      <c r="J438" s="32"/>
      <c r="K438" s="32">
        <v>1</v>
      </c>
      <c r="L438" s="32">
        <v>2000</v>
      </c>
      <c r="M438" s="32">
        <f>5*15</f>
        <v>75</v>
      </c>
      <c r="N438" s="32"/>
      <c r="O438" s="32"/>
      <c r="P438" s="32"/>
    </row>
    <row r="439" spans="1:16" ht="22.5" customHeight="1" x14ac:dyDescent="0.35">
      <c r="A439" s="52"/>
      <c r="B439" s="50" t="s">
        <v>710</v>
      </c>
      <c r="C439" s="54" t="s">
        <v>1567</v>
      </c>
      <c r="D439" s="32">
        <v>1</v>
      </c>
      <c r="E439" s="32">
        <v>4</v>
      </c>
      <c r="F439" s="32"/>
      <c r="G439" s="53">
        <v>1</v>
      </c>
      <c r="H439" s="32">
        <v>25000</v>
      </c>
      <c r="I439" s="32"/>
      <c r="J439" s="32"/>
      <c r="K439" s="32">
        <v>1</v>
      </c>
      <c r="L439" s="32">
        <v>1</v>
      </c>
      <c r="M439" s="32">
        <v>1</v>
      </c>
      <c r="N439" s="32">
        <v>1</v>
      </c>
      <c r="O439" s="32">
        <v>1</v>
      </c>
      <c r="P439" s="32">
        <v>1</v>
      </c>
    </row>
    <row r="440" spans="1:16" ht="22.5" customHeight="1" x14ac:dyDescent="0.35">
      <c r="A440" s="52"/>
      <c r="B440" s="50" t="s">
        <v>711</v>
      </c>
      <c r="C440" s="54" t="s">
        <v>1568</v>
      </c>
      <c r="D440" s="32">
        <v>1</v>
      </c>
      <c r="E440" s="32"/>
      <c r="F440" s="32"/>
      <c r="G440" s="53"/>
      <c r="H440" s="32"/>
      <c r="I440" s="32"/>
      <c r="J440" s="32"/>
      <c r="K440" s="32"/>
      <c r="L440" s="32"/>
      <c r="M440" s="32"/>
      <c r="N440" s="32"/>
      <c r="O440" s="32"/>
      <c r="P440" s="32"/>
    </row>
    <row r="441" spans="1:16" ht="22.5" customHeight="1" x14ac:dyDescent="0.35">
      <c r="A441" s="52"/>
      <c r="B441" s="50" t="s">
        <v>712</v>
      </c>
      <c r="C441" s="54" t="s">
        <v>1569</v>
      </c>
      <c r="D441" s="32"/>
      <c r="E441" s="32"/>
      <c r="F441" s="32"/>
      <c r="G441" s="53"/>
      <c r="H441" s="32"/>
      <c r="I441" s="32"/>
      <c r="J441" s="32"/>
      <c r="K441" s="32"/>
      <c r="L441" s="32"/>
      <c r="M441" s="32"/>
      <c r="N441" s="32"/>
      <c r="O441" s="32"/>
      <c r="P441" s="32"/>
    </row>
    <row r="442" spans="1:16" ht="22.5" customHeight="1" x14ac:dyDescent="0.35">
      <c r="A442" s="52"/>
      <c r="B442" s="48" t="s">
        <v>147</v>
      </c>
      <c r="D442" s="32">
        <v>1</v>
      </c>
      <c r="E442" s="32"/>
      <c r="F442" s="32"/>
      <c r="G442" s="53"/>
      <c r="H442" s="32"/>
      <c r="I442" s="32"/>
      <c r="J442" s="32"/>
      <c r="K442" s="32"/>
      <c r="L442" s="32"/>
      <c r="M442" s="32"/>
      <c r="N442" s="32"/>
      <c r="O442" s="32"/>
      <c r="P442" s="32"/>
    </row>
    <row r="443" spans="1:16" ht="22.5" customHeight="1" x14ac:dyDescent="0.35">
      <c r="A443" s="52"/>
      <c r="B443" s="50" t="s">
        <v>713</v>
      </c>
      <c r="C443" s="54" t="s">
        <v>1570</v>
      </c>
      <c r="D443" s="32">
        <v>1</v>
      </c>
      <c r="E443" s="32">
        <v>4</v>
      </c>
      <c r="F443" s="32">
        <v>30</v>
      </c>
      <c r="G443" s="53"/>
      <c r="H443" s="32">
        <v>25000</v>
      </c>
      <c r="I443" s="32">
        <v>5</v>
      </c>
      <c r="J443" s="32"/>
      <c r="K443" s="32">
        <v>2</v>
      </c>
      <c r="L443" s="32">
        <v>10000</v>
      </c>
      <c r="M443" s="32">
        <v>300000</v>
      </c>
      <c r="N443" s="32">
        <v>40</v>
      </c>
      <c r="O443" s="32"/>
      <c r="P443" s="32">
        <v>15000</v>
      </c>
    </row>
    <row r="444" spans="1:16" ht="22.5" customHeight="1" x14ac:dyDescent="0.35">
      <c r="A444" s="52"/>
      <c r="B444" s="50" t="s">
        <v>714</v>
      </c>
      <c r="C444" s="54" t="s">
        <v>1571</v>
      </c>
      <c r="D444" s="32">
        <v>1</v>
      </c>
      <c r="E444" s="32"/>
      <c r="F444" s="32"/>
      <c r="G444" s="53"/>
      <c r="H444" s="32"/>
      <c r="I444" s="32"/>
      <c r="J444" s="32"/>
      <c r="K444" s="32"/>
      <c r="L444" s="32"/>
      <c r="M444" s="32"/>
      <c r="N444" s="32"/>
      <c r="O444" s="32"/>
      <c r="P444" s="32"/>
    </row>
    <row r="445" spans="1:16" ht="22.5" customHeight="1" x14ac:dyDescent="0.35">
      <c r="A445" s="52"/>
      <c r="B445" s="50" t="s">
        <v>715</v>
      </c>
      <c r="C445" s="54" t="s">
        <v>1572</v>
      </c>
      <c r="D445" s="32">
        <v>12</v>
      </c>
      <c r="E445" s="32"/>
      <c r="F445" s="32"/>
      <c r="G445" s="53"/>
      <c r="H445" s="32"/>
      <c r="I445" s="32"/>
      <c r="J445" s="32"/>
      <c r="K445" s="32">
        <v>1</v>
      </c>
      <c r="L445" s="32">
        <v>80000</v>
      </c>
      <c r="M445" s="32"/>
      <c r="N445" s="32">
        <v>30</v>
      </c>
      <c r="O445" s="32"/>
      <c r="P445" s="32"/>
    </row>
    <row r="446" spans="1:16" ht="22.5" customHeight="1" x14ac:dyDescent="0.35">
      <c r="A446" s="52"/>
      <c r="B446" s="50" t="s">
        <v>716</v>
      </c>
      <c r="C446" s="54" t="s">
        <v>1573</v>
      </c>
      <c r="D446" s="32">
        <v>1</v>
      </c>
      <c r="E446" s="32"/>
      <c r="F446" s="32"/>
      <c r="G446" s="53"/>
      <c r="H446" s="32"/>
      <c r="I446" s="32"/>
      <c r="J446" s="32"/>
      <c r="K446" s="32"/>
      <c r="L446" s="32"/>
      <c r="M446" s="32"/>
      <c r="N446" s="32"/>
      <c r="O446" s="32"/>
      <c r="P446" s="32"/>
    </row>
    <row r="447" spans="1:16" ht="22.5" customHeight="1" x14ac:dyDescent="0.35">
      <c r="A447" s="52"/>
      <c r="B447" s="50" t="s">
        <v>717</v>
      </c>
      <c r="C447" s="54" t="s">
        <v>1574</v>
      </c>
      <c r="D447" s="32"/>
      <c r="E447" s="32"/>
      <c r="F447" s="32"/>
      <c r="G447" s="53"/>
      <c r="H447" s="32"/>
      <c r="I447" s="32"/>
      <c r="J447" s="32"/>
      <c r="K447" s="32"/>
      <c r="L447" s="32"/>
      <c r="M447" s="32"/>
      <c r="N447" s="32"/>
      <c r="O447" s="32"/>
      <c r="P447" s="32"/>
    </row>
    <row r="448" spans="1:16" ht="22.5" customHeight="1" x14ac:dyDescent="0.35">
      <c r="A448" s="43"/>
      <c r="B448" s="43" t="s">
        <v>70</v>
      </c>
      <c r="C448" s="42" t="s">
        <v>1575</v>
      </c>
      <c r="D448" s="32"/>
      <c r="E448" s="32"/>
      <c r="F448" s="32"/>
      <c r="G448" s="53"/>
      <c r="H448" s="32"/>
      <c r="I448" s="32"/>
      <c r="J448" s="32"/>
      <c r="K448" s="32"/>
      <c r="L448" s="32"/>
      <c r="M448" s="32"/>
      <c r="N448" s="32"/>
      <c r="O448" s="32"/>
      <c r="P448" s="32"/>
    </row>
    <row r="449" spans="1:16" ht="22.5" customHeight="1" x14ac:dyDescent="0.35">
      <c r="A449" s="45"/>
      <c r="B449" s="45" t="s">
        <v>71</v>
      </c>
      <c r="C449" s="46"/>
      <c r="D449" s="32"/>
      <c r="E449" s="32"/>
      <c r="F449" s="32"/>
      <c r="G449" s="53"/>
      <c r="H449" s="32"/>
      <c r="I449" s="32"/>
      <c r="J449" s="32"/>
      <c r="K449" s="32"/>
      <c r="L449" s="32"/>
      <c r="M449" s="32"/>
      <c r="N449" s="32"/>
      <c r="O449" s="32"/>
      <c r="P449" s="32"/>
    </row>
    <row r="450" spans="1:16" ht="22.5" customHeight="1" x14ac:dyDescent="0.35">
      <c r="A450" s="52"/>
      <c r="B450" s="48" t="s">
        <v>148</v>
      </c>
      <c r="D450" s="32">
        <v>1</v>
      </c>
      <c r="E450" s="32"/>
      <c r="F450" s="32"/>
      <c r="G450" s="53"/>
      <c r="H450" s="32"/>
      <c r="I450" s="32"/>
      <c r="J450" s="32"/>
      <c r="K450" s="32"/>
      <c r="L450" s="32"/>
      <c r="M450" s="32"/>
      <c r="N450" s="32"/>
      <c r="O450" s="32"/>
      <c r="P450" s="32"/>
    </row>
    <row r="451" spans="1:16" ht="22.5" customHeight="1" x14ac:dyDescent="0.35">
      <c r="A451" s="52"/>
      <c r="B451" s="50" t="s">
        <v>718</v>
      </c>
      <c r="C451" s="54" t="s">
        <v>1576</v>
      </c>
      <c r="D451" s="32">
        <v>1</v>
      </c>
      <c r="E451" s="32"/>
      <c r="F451" s="32"/>
      <c r="G451" s="53"/>
      <c r="H451" s="32"/>
      <c r="I451" s="32"/>
      <c r="J451" s="32"/>
      <c r="K451" s="32"/>
      <c r="L451" s="32"/>
      <c r="M451" s="32"/>
      <c r="N451" s="32"/>
      <c r="O451" s="32"/>
      <c r="P451" s="32"/>
    </row>
    <row r="452" spans="1:16" ht="22.5" customHeight="1" x14ac:dyDescent="0.35">
      <c r="A452" s="52"/>
      <c r="B452" s="50" t="s">
        <v>719</v>
      </c>
      <c r="C452" s="54" t="s">
        <v>1577</v>
      </c>
      <c r="D452" s="32">
        <v>1</v>
      </c>
      <c r="E452" s="32"/>
      <c r="F452" s="32"/>
      <c r="G452" s="53"/>
      <c r="H452" s="32"/>
      <c r="I452" s="32"/>
      <c r="J452" s="32"/>
      <c r="K452" s="32"/>
      <c r="L452" s="32"/>
      <c r="M452" s="32"/>
      <c r="N452" s="32"/>
      <c r="O452" s="32"/>
      <c r="P452" s="32"/>
    </row>
    <row r="453" spans="1:16" ht="22.5" customHeight="1" x14ac:dyDescent="0.35">
      <c r="A453" s="52"/>
      <c r="B453" s="50" t="s">
        <v>720</v>
      </c>
      <c r="C453" s="54" t="s">
        <v>1578</v>
      </c>
      <c r="D453" s="32">
        <v>1</v>
      </c>
      <c r="E453" s="32"/>
      <c r="F453" s="32"/>
      <c r="G453" s="53"/>
      <c r="H453" s="32"/>
      <c r="I453" s="32"/>
      <c r="J453" s="32"/>
      <c r="K453" s="32"/>
      <c r="L453" s="32"/>
      <c r="M453" s="32"/>
      <c r="N453" s="32"/>
      <c r="O453" s="32"/>
      <c r="P453" s="32"/>
    </row>
    <row r="454" spans="1:16" ht="22.5" customHeight="1" x14ac:dyDescent="0.35">
      <c r="A454" s="52"/>
      <c r="B454" s="50" t="s">
        <v>721</v>
      </c>
      <c r="C454" s="54" t="s">
        <v>1579</v>
      </c>
      <c r="D454" s="32">
        <v>1</v>
      </c>
      <c r="E454" s="32"/>
      <c r="F454" s="32"/>
      <c r="G454" s="53"/>
      <c r="H454" s="32"/>
      <c r="I454" s="32"/>
      <c r="J454" s="32"/>
      <c r="K454" s="32"/>
      <c r="L454" s="32"/>
      <c r="M454" s="32"/>
      <c r="N454" s="32"/>
      <c r="O454" s="32"/>
      <c r="P454" s="32"/>
    </row>
    <row r="455" spans="1:16" ht="22.5" customHeight="1" x14ac:dyDescent="0.35">
      <c r="A455" s="52"/>
      <c r="B455" s="50" t="s">
        <v>1580</v>
      </c>
      <c r="C455" s="54" t="s">
        <v>1581</v>
      </c>
      <c r="D455" s="32">
        <v>1</v>
      </c>
      <c r="E455" s="32"/>
      <c r="F455" s="32"/>
      <c r="G455" s="53"/>
      <c r="H455" s="32"/>
      <c r="I455" s="32"/>
      <c r="J455" s="32"/>
      <c r="K455" s="32"/>
      <c r="L455" s="32"/>
      <c r="M455" s="32"/>
      <c r="N455" s="32"/>
      <c r="O455" s="32"/>
      <c r="P455" s="32"/>
    </row>
    <row r="456" spans="1:16" ht="22.5" customHeight="1" x14ac:dyDescent="0.35">
      <c r="A456" s="52"/>
      <c r="B456" s="50" t="s">
        <v>651</v>
      </c>
      <c r="C456" s="54" t="s">
        <v>1582</v>
      </c>
      <c r="D456" s="32">
        <v>1</v>
      </c>
      <c r="E456" s="32"/>
      <c r="F456" s="32"/>
      <c r="G456" s="53"/>
      <c r="H456" s="32"/>
      <c r="I456" s="32"/>
      <c r="J456" s="32"/>
      <c r="K456" s="32"/>
      <c r="L456" s="32"/>
      <c r="M456" s="32"/>
      <c r="N456" s="32"/>
      <c r="O456" s="32"/>
      <c r="P456" s="32"/>
    </row>
    <row r="457" spans="1:16" ht="22.5" customHeight="1" x14ac:dyDescent="0.35">
      <c r="A457" s="52"/>
      <c r="B457" s="50" t="s">
        <v>722</v>
      </c>
      <c r="C457" s="54" t="s">
        <v>1583</v>
      </c>
      <c r="D457" s="32">
        <v>1</v>
      </c>
      <c r="E457" s="32"/>
      <c r="F457" s="32"/>
      <c r="G457" s="53"/>
      <c r="H457" s="32"/>
      <c r="I457" s="32"/>
      <c r="J457" s="32"/>
      <c r="K457" s="32"/>
      <c r="L457" s="32"/>
      <c r="M457" s="32"/>
      <c r="N457" s="32"/>
      <c r="O457" s="32"/>
      <c r="P457" s="32"/>
    </row>
    <row r="458" spans="1:16" ht="22.5" customHeight="1" x14ac:dyDescent="0.35">
      <c r="A458" s="52"/>
      <c r="B458" s="50" t="s">
        <v>652</v>
      </c>
      <c r="C458" s="54" t="s">
        <v>1584</v>
      </c>
      <c r="D458" s="32">
        <v>1</v>
      </c>
      <c r="E458" s="32"/>
      <c r="F458" s="32"/>
      <c r="G458" s="53"/>
      <c r="H458" s="32"/>
      <c r="I458" s="32"/>
      <c r="J458" s="32"/>
      <c r="K458" s="32"/>
      <c r="L458" s="32"/>
      <c r="M458" s="32"/>
      <c r="N458" s="32"/>
      <c r="O458" s="32"/>
      <c r="P458" s="32"/>
    </row>
    <row r="459" spans="1:16" ht="22.5" customHeight="1" x14ac:dyDescent="0.35">
      <c r="A459" s="52"/>
      <c r="B459" s="50" t="s">
        <v>723</v>
      </c>
      <c r="C459" s="54" t="s">
        <v>1585</v>
      </c>
      <c r="D459" s="32">
        <v>1</v>
      </c>
      <c r="E459" s="32">
        <v>10</v>
      </c>
      <c r="F459" s="32">
        <v>150</v>
      </c>
      <c r="G459" s="53">
        <v>10000</v>
      </c>
      <c r="H459" s="32">
        <v>40000</v>
      </c>
      <c r="I459" s="32">
        <v>21</v>
      </c>
      <c r="J459" s="32">
        <v>0</v>
      </c>
      <c r="K459" s="32">
        <v>10</v>
      </c>
      <c r="L459" s="32">
        <v>2000</v>
      </c>
      <c r="M459" s="32"/>
      <c r="N459" s="32">
        <v>150</v>
      </c>
      <c r="O459" s="32">
        <v>0</v>
      </c>
      <c r="P459" s="32">
        <v>2500</v>
      </c>
    </row>
    <row r="460" spans="1:16" ht="22.5" customHeight="1" x14ac:dyDescent="0.35">
      <c r="A460" s="52"/>
      <c r="B460" s="50" t="s">
        <v>724</v>
      </c>
      <c r="C460" s="54" t="s">
        <v>1586</v>
      </c>
      <c r="D460" s="32">
        <v>1</v>
      </c>
      <c r="E460" s="32"/>
      <c r="F460" s="32"/>
      <c r="G460" s="53"/>
      <c r="H460" s="32"/>
      <c r="I460" s="32"/>
      <c r="J460" s="32"/>
      <c r="K460" s="32"/>
      <c r="L460" s="32"/>
      <c r="M460" s="32"/>
      <c r="N460" s="32"/>
      <c r="O460" s="32"/>
      <c r="P460" s="32"/>
    </row>
    <row r="461" spans="1:16" ht="22.5" customHeight="1" x14ac:dyDescent="0.35">
      <c r="A461" s="52"/>
      <c r="B461" s="50" t="s">
        <v>725</v>
      </c>
      <c r="C461" s="54" t="s">
        <v>1587</v>
      </c>
      <c r="D461" s="32">
        <v>1</v>
      </c>
      <c r="E461" s="32">
        <v>10</v>
      </c>
      <c r="F461" s="32">
        <v>50</v>
      </c>
      <c r="G461" s="33"/>
      <c r="H461" s="32">
        <v>40000</v>
      </c>
      <c r="I461" s="32">
        <v>10</v>
      </c>
      <c r="J461" s="32"/>
      <c r="K461" s="32">
        <v>5</v>
      </c>
      <c r="L461" s="32">
        <v>2000</v>
      </c>
      <c r="M461" s="32"/>
      <c r="N461" s="32">
        <v>70</v>
      </c>
      <c r="O461" s="32"/>
      <c r="P461" s="32">
        <v>2500</v>
      </c>
    </row>
    <row r="462" spans="1:16" ht="22.5" customHeight="1" x14ac:dyDescent="0.35">
      <c r="A462" s="52"/>
      <c r="B462" s="50" t="s">
        <v>726</v>
      </c>
      <c r="C462" s="54" t="s">
        <v>1588</v>
      </c>
      <c r="D462" s="32">
        <v>5</v>
      </c>
      <c r="E462" s="32">
        <v>2</v>
      </c>
      <c r="F462" s="32"/>
      <c r="G462" s="33"/>
      <c r="H462" s="32">
        <v>40000</v>
      </c>
      <c r="I462" s="32"/>
      <c r="J462" s="32"/>
      <c r="K462" s="32">
        <v>1</v>
      </c>
      <c r="L462" s="32"/>
      <c r="M462" s="32"/>
      <c r="N462" s="32"/>
      <c r="O462" s="32"/>
      <c r="P462" s="32"/>
    </row>
    <row r="463" spans="1:16" ht="22.5" customHeight="1" x14ac:dyDescent="0.35">
      <c r="A463" s="52"/>
      <c r="B463" s="50" t="s">
        <v>727</v>
      </c>
      <c r="C463" s="54" t="s">
        <v>1589</v>
      </c>
      <c r="D463" s="32">
        <v>1</v>
      </c>
      <c r="E463" s="32"/>
      <c r="F463" s="32"/>
      <c r="G463" s="33"/>
      <c r="H463" s="32"/>
      <c r="I463" s="32"/>
      <c r="J463" s="32"/>
      <c r="K463" s="32"/>
      <c r="L463" s="36"/>
      <c r="M463" s="32">
        <v>1</v>
      </c>
      <c r="N463" s="32">
        <v>1</v>
      </c>
      <c r="O463" s="32">
        <v>1000000</v>
      </c>
      <c r="P463" s="32"/>
    </row>
    <row r="464" spans="1:16" ht="22.5" customHeight="1" x14ac:dyDescent="0.35">
      <c r="A464" s="52"/>
      <c r="B464" s="50" t="s">
        <v>728</v>
      </c>
      <c r="C464" s="54" t="s">
        <v>1590</v>
      </c>
      <c r="D464" s="32">
        <v>1</v>
      </c>
      <c r="E464" s="32"/>
      <c r="F464" s="32"/>
      <c r="G464" s="33"/>
      <c r="H464" s="32"/>
      <c r="I464" s="32"/>
      <c r="J464" s="32"/>
      <c r="K464" s="32"/>
      <c r="L464" s="32"/>
      <c r="M464" s="32"/>
      <c r="N464" s="32"/>
      <c r="O464" s="32"/>
      <c r="P464" s="32"/>
    </row>
    <row r="465" spans="1:16" ht="22.5" customHeight="1" x14ac:dyDescent="0.35">
      <c r="A465" s="52"/>
      <c r="B465" s="50" t="s">
        <v>729</v>
      </c>
      <c r="C465" s="54" t="s">
        <v>1591</v>
      </c>
      <c r="D465" s="32">
        <v>1</v>
      </c>
      <c r="E465" s="32"/>
      <c r="F465" s="32"/>
      <c r="G465" s="33"/>
      <c r="H465" s="32"/>
      <c r="I465" s="32"/>
      <c r="J465" s="32"/>
      <c r="K465" s="32"/>
      <c r="L465" s="32"/>
      <c r="M465" s="32"/>
      <c r="N465" s="32"/>
      <c r="O465" s="32"/>
      <c r="P465" s="32"/>
    </row>
    <row r="466" spans="1:16" ht="22.5" customHeight="1" x14ac:dyDescent="0.35">
      <c r="A466" s="52"/>
      <c r="B466" s="50" t="s">
        <v>730</v>
      </c>
      <c r="C466" s="54" t="s">
        <v>1592</v>
      </c>
      <c r="D466" s="32">
        <v>1</v>
      </c>
      <c r="E466" s="32"/>
      <c r="F466" s="32"/>
      <c r="G466" s="33"/>
      <c r="H466" s="32"/>
      <c r="I466" s="32"/>
      <c r="J466" s="32"/>
      <c r="K466" s="32"/>
      <c r="L466" s="32"/>
      <c r="M466" s="32"/>
      <c r="N466" s="32"/>
      <c r="O466" s="32"/>
      <c r="P466" s="32"/>
    </row>
    <row r="467" spans="1:16" ht="22.5" customHeight="1" x14ac:dyDescent="0.35">
      <c r="A467" s="52"/>
      <c r="B467" s="50" t="s">
        <v>731</v>
      </c>
      <c r="C467" s="54" t="s">
        <v>1593</v>
      </c>
      <c r="D467" s="32">
        <v>1</v>
      </c>
      <c r="E467" s="36"/>
      <c r="F467" s="36"/>
      <c r="G467" s="65"/>
      <c r="H467" s="36"/>
      <c r="I467" s="36"/>
      <c r="J467" s="36"/>
      <c r="K467" s="36"/>
      <c r="L467" s="36"/>
      <c r="M467" s="36"/>
      <c r="N467" s="36"/>
      <c r="O467" s="36"/>
      <c r="P467" s="36"/>
    </row>
    <row r="468" spans="1:16" ht="22.5" customHeight="1" x14ac:dyDescent="0.35">
      <c r="A468" s="52"/>
      <c r="B468" s="50" t="s">
        <v>732</v>
      </c>
      <c r="C468" s="54" t="s">
        <v>1594</v>
      </c>
      <c r="D468" s="32">
        <v>1</v>
      </c>
      <c r="E468" s="32"/>
      <c r="F468" s="32"/>
      <c r="G468" s="33"/>
      <c r="H468" s="32"/>
      <c r="I468" s="32"/>
      <c r="J468" s="32"/>
      <c r="K468" s="32"/>
      <c r="L468" s="32"/>
      <c r="M468" s="32"/>
      <c r="N468" s="32"/>
      <c r="O468" s="32"/>
      <c r="P468" s="32"/>
    </row>
    <row r="469" spans="1:16" ht="22.5" customHeight="1" x14ac:dyDescent="0.35">
      <c r="A469" s="52"/>
      <c r="B469" s="66" t="s">
        <v>733</v>
      </c>
      <c r="C469" s="54" t="s">
        <v>1595</v>
      </c>
      <c r="D469" s="32">
        <v>1</v>
      </c>
      <c r="E469" s="32"/>
      <c r="F469" s="32"/>
      <c r="G469" s="53"/>
      <c r="H469" s="32"/>
      <c r="I469" s="32"/>
      <c r="J469" s="32"/>
      <c r="K469" s="32"/>
      <c r="L469" s="32"/>
      <c r="M469" s="32"/>
      <c r="N469" s="32"/>
      <c r="O469" s="32"/>
      <c r="P469" s="32"/>
    </row>
    <row r="470" spans="1:16" ht="22.5" customHeight="1" x14ac:dyDescent="0.35">
      <c r="A470" s="52"/>
      <c r="B470" s="66" t="s">
        <v>734</v>
      </c>
      <c r="C470" s="54" t="s">
        <v>1596</v>
      </c>
      <c r="D470" s="32">
        <v>1</v>
      </c>
      <c r="E470" s="32">
        <v>4</v>
      </c>
      <c r="F470" s="32">
        <v>10</v>
      </c>
      <c r="G470" s="53"/>
      <c r="H470" s="32">
        <v>40000</v>
      </c>
      <c r="I470" s="32">
        <v>6</v>
      </c>
      <c r="J470" s="32"/>
      <c r="K470" s="32">
        <v>5</v>
      </c>
      <c r="L470" s="32">
        <v>2000</v>
      </c>
      <c r="M470" s="32"/>
      <c r="N470" s="32">
        <v>20</v>
      </c>
      <c r="O470" s="32"/>
      <c r="P470" s="32">
        <v>2500</v>
      </c>
    </row>
    <row r="471" spans="1:16" ht="22.5" customHeight="1" x14ac:dyDescent="0.35">
      <c r="A471" s="52"/>
      <c r="B471" s="66" t="s">
        <v>735</v>
      </c>
      <c r="C471" s="54" t="s">
        <v>1597</v>
      </c>
      <c r="D471" s="32">
        <v>1</v>
      </c>
      <c r="E471" s="32"/>
      <c r="F471" s="32"/>
      <c r="G471" s="53"/>
      <c r="H471" s="32"/>
      <c r="I471" s="32"/>
      <c r="J471" s="32"/>
      <c r="K471" s="32"/>
      <c r="L471" s="32">
        <v>150000</v>
      </c>
      <c r="M471" s="32"/>
      <c r="N471" s="32">
        <v>1</v>
      </c>
      <c r="O471" s="32">
        <v>150000</v>
      </c>
      <c r="P471" s="32"/>
    </row>
    <row r="472" spans="1:16" ht="22.5" customHeight="1" x14ac:dyDescent="0.35">
      <c r="A472" s="52"/>
      <c r="B472" s="66" t="s">
        <v>736</v>
      </c>
      <c r="C472" s="54" t="s">
        <v>1598</v>
      </c>
      <c r="D472" s="32">
        <v>1</v>
      </c>
      <c r="E472" s="32"/>
      <c r="F472" s="32"/>
      <c r="G472" s="53"/>
      <c r="H472" s="32"/>
      <c r="I472" s="32"/>
      <c r="J472" s="32"/>
      <c r="K472" s="32"/>
      <c r="L472" s="32"/>
      <c r="M472" s="32"/>
      <c r="N472" s="32"/>
      <c r="O472" s="32"/>
      <c r="P472" s="32"/>
    </row>
    <row r="473" spans="1:16" ht="22.5" customHeight="1" x14ac:dyDescent="0.35">
      <c r="A473" s="52"/>
      <c r="B473" s="66" t="s">
        <v>737</v>
      </c>
      <c r="C473" s="54" t="s">
        <v>1599</v>
      </c>
      <c r="D473" s="32">
        <v>2</v>
      </c>
      <c r="E473" s="32">
        <f>2*50</f>
        <v>100</v>
      </c>
      <c r="F473" s="32"/>
      <c r="G473" s="53"/>
      <c r="H473" s="32">
        <v>40000</v>
      </c>
      <c r="I473" s="32"/>
      <c r="J473" s="32"/>
      <c r="K473" s="32">
        <v>7</v>
      </c>
      <c r="L473" s="32">
        <v>10000</v>
      </c>
      <c r="M473" s="32"/>
      <c r="N473" s="32"/>
      <c r="O473" s="32"/>
      <c r="P473" s="32"/>
    </row>
    <row r="474" spans="1:16" ht="22.5" customHeight="1" x14ac:dyDescent="0.35">
      <c r="A474" s="52"/>
      <c r="B474" s="66" t="s">
        <v>738</v>
      </c>
      <c r="C474" s="54" t="s">
        <v>1600</v>
      </c>
      <c r="D474" s="32">
        <v>1</v>
      </c>
      <c r="E474" s="32"/>
      <c r="F474" s="32"/>
      <c r="G474" s="53"/>
      <c r="H474" s="32"/>
      <c r="I474" s="32"/>
      <c r="J474" s="32"/>
      <c r="K474" s="32"/>
      <c r="L474" s="32"/>
      <c r="M474" s="32"/>
      <c r="N474" s="32"/>
      <c r="O474" s="32"/>
      <c r="P474" s="32"/>
    </row>
    <row r="475" spans="1:16" ht="22.5" customHeight="1" x14ac:dyDescent="0.35">
      <c r="A475" s="52"/>
      <c r="B475" s="66" t="s">
        <v>739</v>
      </c>
      <c r="C475" s="54" t="s">
        <v>1601</v>
      </c>
      <c r="D475" s="32">
        <v>1</v>
      </c>
      <c r="E475" s="32"/>
      <c r="F475" s="32"/>
      <c r="G475" s="53"/>
      <c r="H475" s="32"/>
      <c r="I475" s="32"/>
      <c r="J475" s="32"/>
      <c r="K475" s="32"/>
      <c r="L475" s="32">
        <v>100000</v>
      </c>
      <c r="M475" s="32"/>
      <c r="N475" s="32">
        <v>1</v>
      </c>
      <c r="O475" s="32">
        <v>100000</v>
      </c>
      <c r="P475" s="32"/>
    </row>
    <row r="476" spans="1:16" ht="22.5" customHeight="1" x14ac:dyDescent="0.35">
      <c r="A476" s="52"/>
      <c r="B476" s="50" t="s">
        <v>740</v>
      </c>
      <c r="C476" s="54" t="s">
        <v>1602</v>
      </c>
      <c r="D476" s="32"/>
      <c r="E476" s="32"/>
      <c r="F476" s="32"/>
      <c r="G476" s="53"/>
      <c r="H476" s="32"/>
      <c r="I476" s="32"/>
      <c r="J476" s="32"/>
      <c r="K476" s="32"/>
      <c r="L476" s="32"/>
      <c r="M476" s="32"/>
      <c r="N476" s="32"/>
      <c r="O476" s="32"/>
      <c r="P476" s="32"/>
    </row>
    <row r="477" spans="1:16" ht="22.5" customHeight="1" x14ac:dyDescent="0.35">
      <c r="A477" s="52"/>
      <c r="B477" s="48" t="s">
        <v>149</v>
      </c>
      <c r="D477" s="32">
        <v>1</v>
      </c>
      <c r="E477" s="32"/>
      <c r="F477" s="32"/>
      <c r="G477" s="53"/>
      <c r="H477" s="32"/>
      <c r="I477" s="32"/>
      <c r="J477" s="32"/>
      <c r="K477" s="32"/>
      <c r="L477" s="32"/>
      <c r="M477" s="32"/>
      <c r="N477" s="32"/>
      <c r="O477" s="32"/>
      <c r="P477" s="32"/>
    </row>
    <row r="478" spans="1:16" ht="22.5" customHeight="1" x14ac:dyDescent="0.35">
      <c r="A478" s="52"/>
      <c r="B478" s="50" t="s">
        <v>741</v>
      </c>
      <c r="C478" s="54" t="s">
        <v>1603</v>
      </c>
      <c r="D478" s="32">
        <v>1</v>
      </c>
      <c r="E478" s="32"/>
      <c r="F478" s="32"/>
      <c r="G478" s="33"/>
      <c r="H478" s="32"/>
      <c r="I478" s="32"/>
      <c r="J478" s="32"/>
      <c r="K478" s="32"/>
      <c r="L478" s="32"/>
      <c r="M478" s="32"/>
      <c r="N478" s="32"/>
      <c r="O478" s="32"/>
      <c r="P478" s="32"/>
    </row>
    <row r="479" spans="1:16" ht="22.5" customHeight="1" x14ac:dyDescent="0.35">
      <c r="A479" s="52"/>
      <c r="B479" s="50" t="s">
        <v>742</v>
      </c>
      <c r="C479" s="54" t="s">
        <v>1604</v>
      </c>
      <c r="D479" s="32">
        <v>1</v>
      </c>
      <c r="E479" s="32"/>
      <c r="F479" s="32"/>
      <c r="G479" s="33"/>
      <c r="H479" s="32"/>
      <c r="I479" s="32"/>
      <c r="J479" s="32"/>
      <c r="K479" s="32"/>
      <c r="L479" s="32"/>
      <c r="M479" s="32"/>
      <c r="N479" s="32"/>
      <c r="O479" s="32"/>
      <c r="P479" s="32"/>
    </row>
    <row r="480" spans="1:16" ht="22.5" customHeight="1" x14ac:dyDescent="0.35">
      <c r="A480" s="52"/>
      <c r="B480" s="50" t="s">
        <v>743</v>
      </c>
      <c r="C480" s="54" t="s">
        <v>1605</v>
      </c>
      <c r="D480" s="32">
        <v>1</v>
      </c>
      <c r="E480" s="32"/>
      <c r="F480" s="32"/>
      <c r="G480" s="33"/>
      <c r="H480" s="32"/>
      <c r="I480" s="32"/>
      <c r="J480" s="32"/>
      <c r="K480" s="32"/>
      <c r="L480" s="32"/>
      <c r="M480" s="32"/>
      <c r="N480" s="32"/>
      <c r="O480" s="32"/>
      <c r="P480" s="32"/>
    </row>
    <row r="481" spans="1:16" ht="22.5" customHeight="1" x14ac:dyDescent="0.35">
      <c r="A481" s="52"/>
      <c r="B481" s="50" t="s">
        <v>744</v>
      </c>
      <c r="C481" s="54" t="s">
        <v>1606</v>
      </c>
      <c r="D481" s="32">
        <v>1</v>
      </c>
      <c r="E481" s="32"/>
      <c r="F481" s="32"/>
      <c r="G481" s="33"/>
      <c r="H481" s="32"/>
      <c r="I481" s="32"/>
      <c r="J481" s="32"/>
      <c r="K481" s="32"/>
      <c r="L481" s="32"/>
      <c r="M481" s="32"/>
      <c r="N481" s="32"/>
      <c r="O481" s="32"/>
      <c r="P481" s="32"/>
    </row>
    <row r="482" spans="1:16" ht="22.5" customHeight="1" x14ac:dyDescent="0.35">
      <c r="A482" s="52"/>
      <c r="B482" s="50" t="s">
        <v>745</v>
      </c>
      <c r="C482" s="54" t="s">
        <v>1607</v>
      </c>
      <c r="D482" s="32">
        <v>1</v>
      </c>
      <c r="E482" s="32"/>
      <c r="F482" s="32"/>
      <c r="G482" s="33"/>
      <c r="H482" s="32"/>
      <c r="I482" s="32"/>
      <c r="J482" s="32"/>
      <c r="K482" s="32"/>
      <c r="L482" s="32"/>
      <c r="M482" s="32"/>
      <c r="N482" s="32"/>
      <c r="O482" s="32"/>
      <c r="P482" s="32"/>
    </row>
    <row r="483" spans="1:16" ht="22.5" customHeight="1" x14ac:dyDescent="0.35">
      <c r="A483" s="52"/>
      <c r="B483" s="50" t="s">
        <v>746</v>
      </c>
      <c r="C483" s="54" t="s">
        <v>1608</v>
      </c>
      <c r="D483" s="32">
        <v>1</v>
      </c>
      <c r="E483" s="32"/>
      <c r="F483" s="32"/>
      <c r="G483" s="33"/>
      <c r="H483" s="32"/>
      <c r="I483" s="32"/>
      <c r="J483" s="32"/>
      <c r="K483" s="32"/>
      <c r="L483" s="32"/>
      <c r="M483" s="32"/>
      <c r="N483" s="32"/>
      <c r="O483" s="32"/>
      <c r="P483" s="32"/>
    </row>
    <row r="484" spans="1:16" ht="22.5" customHeight="1" x14ac:dyDescent="0.35">
      <c r="A484" s="52"/>
      <c r="B484" s="50" t="s">
        <v>1609</v>
      </c>
      <c r="C484" s="54" t="s">
        <v>1610</v>
      </c>
      <c r="D484" s="32">
        <v>1</v>
      </c>
      <c r="E484" s="32"/>
      <c r="F484" s="32"/>
      <c r="G484" s="33"/>
      <c r="H484" s="32"/>
      <c r="I484" s="32"/>
      <c r="J484" s="32"/>
      <c r="K484" s="32"/>
      <c r="L484" s="32"/>
      <c r="M484" s="32"/>
      <c r="N484" s="32"/>
      <c r="O484" s="32"/>
      <c r="P484" s="32"/>
    </row>
    <row r="485" spans="1:16" ht="22.5" customHeight="1" x14ac:dyDescent="0.35">
      <c r="A485" s="52"/>
      <c r="B485" s="50" t="s">
        <v>747</v>
      </c>
      <c r="C485" s="54" t="s">
        <v>1611</v>
      </c>
      <c r="D485" s="32">
        <v>1</v>
      </c>
      <c r="E485" s="32"/>
      <c r="F485" s="32"/>
      <c r="G485" s="33"/>
      <c r="H485" s="32"/>
      <c r="I485" s="32"/>
      <c r="J485" s="32"/>
      <c r="K485" s="32"/>
      <c r="L485" s="32"/>
      <c r="M485" s="32"/>
      <c r="N485" s="32"/>
      <c r="O485" s="32"/>
      <c r="P485" s="32"/>
    </row>
    <row r="486" spans="1:16" ht="22.5" customHeight="1" x14ac:dyDescent="0.35">
      <c r="A486" s="52"/>
      <c r="B486" s="50" t="s">
        <v>748</v>
      </c>
      <c r="C486" s="54" t="s">
        <v>1612</v>
      </c>
      <c r="D486" s="32">
        <v>1</v>
      </c>
      <c r="E486" s="32"/>
      <c r="F486" s="32"/>
      <c r="G486" s="33"/>
      <c r="H486" s="32"/>
      <c r="I486" s="32"/>
      <c r="J486" s="32"/>
      <c r="K486" s="32"/>
      <c r="L486" s="32"/>
      <c r="M486" s="32"/>
      <c r="N486" s="32"/>
      <c r="O486" s="32"/>
      <c r="P486" s="32"/>
    </row>
    <row r="487" spans="1:16" ht="22.5" customHeight="1" x14ac:dyDescent="0.35">
      <c r="A487" s="52"/>
      <c r="B487" s="50" t="s">
        <v>749</v>
      </c>
      <c r="C487" s="54" t="s">
        <v>1613</v>
      </c>
      <c r="D487" s="32">
        <v>1</v>
      </c>
      <c r="E487" s="32"/>
      <c r="F487" s="32"/>
      <c r="G487" s="33"/>
      <c r="H487" s="32"/>
      <c r="I487" s="32"/>
      <c r="J487" s="32"/>
      <c r="K487" s="32"/>
      <c r="L487" s="32"/>
      <c r="M487" s="32"/>
      <c r="N487" s="32"/>
      <c r="O487" s="32"/>
      <c r="P487" s="32"/>
    </row>
    <row r="488" spans="1:16" ht="22.5" customHeight="1" x14ac:dyDescent="0.35">
      <c r="A488" s="52"/>
      <c r="B488" s="50" t="s">
        <v>750</v>
      </c>
      <c r="C488" s="54" t="s">
        <v>1614</v>
      </c>
      <c r="D488" s="32">
        <v>1</v>
      </c>
      <c r="E488" s="32"/>
      <c r="F488" s="32"/>
      <c r="G488" s="33"/>
      <c r="H488" s="32"/>
      <c r="I488" s="32"/>
      <c r="J488" s="32"/>
      <c r="K488" s="32"/>
      <c r="L488" s="32"/>
      <c r="M488" s="32"/>
      <c r="N488" s="32"/>
      <c r="O488" s="32"/>
      <c r="P488" s="32"/>
    </row>
    <row r="489" spans="1:16" ht="22.5" customHeight="1" x14ac:dyDescent="0.35">
      <c r="A489" s="52"/>
      <c r="B489" s="50" t="s">
        <v>751</v>
      </c>
      <c r="C489" s="54" t="s">
        <v>1615</v>
      </c>
      <c r="D489" s="32">
        <v>1</v>
      </c>
      <c r="E489" s="32"/>
      <c r="F489" s="32"/>
      <c r="G489" s="33"/>
      <c r="H489" s="32"/>
      <c r="I489" s="32"/>
      <c r="J489" s="32"/>
      <c r="K489" s="32"/>
      <c r="L489" s="32"/>
      <c r="M489" s="32"/>
      <c r="N489" s="32"/>
      <c r="O489" s="32"/>
      <c r="P489" s="32"/>
    </row>
    <row r="490" spans="1:16" ht="22.5" customHeight="1" x14ac:dyDescent="0.35">
      <c r="A490" s="52"/>
      <c r="B490" s="50" t="s">
        <v>752</v>
      </c>
      <c r="C490" s="54" t="s">
        <v>1616</v>
      </c>
      <c r="D490" s="32">
        <v>1</v>
      </c>
      <c r="E490" s="32"/>
      <c r="F490" s="32"/>
      <c r="G490" s="33"/>
      <c r="H490" s="32"/>
      <c r="I490" s="32"/>
      <c r="J490" s="32"/>
      <c r="K490" s="32"/>
      <c r="L490" s="32"/>
      <c r="M490" s="32"/>
      <c r="N490" s="32"/>
      <c r="O490" s="32"/>
      <c r="P490" s="32"/>
    </row>
    <row r="491" spans="1:16" ht="22.5" customHeight="1" x14ac:dyDescent="0.35">
      <c r="A491" s="52"/>
      <c r="B491" s="50" t="s">
        <v>753</v>
      </c>
      <c r="C491" s="54" t="s">
        <v>1617</v>
      </c>
      <c r="D491" s="32"/>
      <c r="E491" s="32"/>
      <c r="F491" s="32"/>
      <c r="G491" s="33"/>
      <c r="H491" s="32"/>
      <c r="I491" s="32"/>
      <c r="J491" s="32"/>
      <c r="K491" s="32"/>
      <c r="L491" s="32"/>
      <c r="M491" s="32"/>
      <c r="N491" s="32"/>
      <c r="O491" s="32"/>
      <c r="P491" s="32"/>
    </row>
    <row r="492" spans="1:16" ht="22.5" customHeight="1" x14ac:dyDescent="0.35">
      <c r="A492" s="52"/>
      <c r="B492" s="48" t="s">
        <v>150</v>
      </c>
      <c r="D492" s="32">
        <v>1</v>
      </c>
      <c r="E492" s="32">
        <v>38</v>
      </c>
      <c r="F492" s="32">
        <f>10*E492</f>
        <v>380</v>
      </c>
      <c r="G492" s="33"/>
      <c r="H492" s="32">
        <v>25000</v>
      </c>
      <c r="I492" s="32">
        <v>38</v>
      </c>
      <c r="J492" s="32"/>
      <c r="K492" s="32">
        <v>2</v>
      </c>
      <c r="L492" s="32">
        <v>5000</v>
      </c>
      <c r="M492" s="32"/>
      <c r="N492" s="32">
        <f>380+(38*2)</f>
        <v>456</v>
      </c>
      <c r="O492" s="32"/>
      <c r="P492" s="32">
        <v>5000</v>
      </c>
    </row>
    <row r="493" spans="1:16" ht="22.5" customHeight="1" x14ac:dyDescent="0.35">
      <c r="A493" s="52"/>
      <c r="B493" s="50" t="s">
        <v>754</v>
      </c>
      <c r="C493" s="54" t="s">
        <v>1618</v>
      </c>
      <c r="D493" s="32">
        <v>12</v>
      </c>
      <c r="E493" s="32"/>
      <c r="F493" s="32"/>
      <c r="G493" s="33"/>
      <c r="H493" s="32"/>
      <c r="I493" s="32"/>
      <c r="J493" s="32"/>
      <c r="K493" s="32">
        <v>1</v>
      </c>
      <c r="L493" s="32">
        <v>2000</v>
      </c>
      <c r="M493" s="32"/>
      <c r="N493" s="32">
        <f>96-38</f>
        <v>58</v>
      </c>
      <c r="O493" s="32"/>
      <c r="P493" s="32"/>
    </row>
    <row r="494" spans="1:16" ht="22.5" customHeight="1" x14ac:dyDescent="0.35">
      <c r="A494" s="52"/>
      <c r="B494" s="50" t="s">
        <v>755</v>
      </c>
      <c r="C494" s="54" t="s">
        <v>1619</v>
      </c>
      <c r="D494" s="32">
        <v>12</v>
      </c>
      <c r="E494" s="32"/>
      <c r="F494" s="32"/>
      <c r="G494" s="33"/>
      <c r="H494" s="32"/>
      <c r="I494" s="32"/>
      <c r="J494" s="32"/>
      <c r="K494" s="32">
        <v>1</v>
      </c>
      <c r="L494" s="32">
        <v>2000</v>
      </c>
      <c r="M494" s="32"/>
      <c r="N494" s="32">
        <v>38</v>
      </c>
      <c r="O494" s="32"/>
      <c r="P494" s="32"/>
    </row>
    <row r="495" spans="1:16" ht="22.5" customHeight="1" x14ac:dyDescent="0.35">
      <c r="A495" s="52"/>
      <c r="B495" s="50" t="s">
        <v>756</v>
      </c>
      <c r="C495" s="54" t="s">
        <v>1620</v>
      </c>
      <c r="D495" s="32">
        <v>12</v>
      </c>
      <c r="E495" s="32"/>
      <c r="F495" s="32"/>
      <c r="G495" s="33"/>
      <c r="H495" s="32"/>
      <c r="I495" s="32"/>
      <c r="J495" s="32"/>
      <c r="K495" s="32">
        <v>3</v>
      </c>
      <c r="L495" s="32">
        <v>2000</v>
      </c>
      <c r="M495" s="32"/>
      <c r="N495" s="32">
        <v>10</v>
      </c>
      <c r="O495" s="32"/>
      <c r="P495" s="32"/>
    </row>
    <row r="496" spans="1:16" ht="22.5" customHeight="1" x14ac:dyDescent="0.35">
      <c r="A496" s="52"/>
      <c r="B496" s="50" t="s">
        <v>757</v>
      </c>
      <c r="C496" s="54" t="s">
        <v>1621</v>
      </c>
      <c r="D496" s="32">
        <v>4</v>
      </c>
      <c r="E496" s="32">
        <v>38</v>
      </c>
      <c r="F496" s="32"/>
      <c r="G496" s="33"/>
      <c r="H496" s="32">
        <v>25000</v>
      </c>
      <c r="I496" s="32"/>
      <c r="J496" s="32"/>
      <c r="K496" s="32">
        <v>1</v>
      </c>
      <c r="L496" s="32"/>
      <c r="M496" s="32"/>
      <c r="N496" s="32"/>
      <c r="O496" s="32"/>
      <c r="P496" s="32"/>
    </row>
    <row r="497" spans="1:16" ht="22.5" customHeight="1" x14ac:dyDescent="0.35">
      <c r="A497" s="52"/>
      <c r="B497" s="50" t="s">
        <v>758</v>
      </c>
      <c r="C497" s="54" t="s">
        <v>1622</v>
      </c>
      <c r="D497" s="32">
        <v>1</v>
      </c>
      <c r="E497" s="32"/>
      <c r="F497" s="32"/>
      <c r="G497" s="33"/>
      <c r="H497" s="32"/>
      <c r="I497" s="32"/>
      <c r="J497" s="32"/>
      <c r="K497" s="32"/>
      <c r="L497" s="32"/>
      <c r="M497" s="32"/>
      <c r="N497" s="32"/>
      <c r="O497" s="32"/>
      <c r="P497" s="32"/>
    </row>
    <row r="498" spans="1:16" ht="22.5" customHeight="1" x14ac:dyDescent="0.35">
      <c r="A498" s="52"/>
      <c r="B498" s="50" t="s">
        <v>759</v>
      </c>
      <c r="C498" s="54" t="s">
        <v>1623</v>
      </c>
      <c r="D498" s="32">
        <v>4</v>
      </c>
      <c r="E498" s="32">
        <v>38</v>
      </c>
      <c r="F498" s="32"/>
      <c r="G498" s="33"/>
      <c r="H498" s="32">
        <v>25000</v>
      </c>
      <c r="I498" s="32"/>
      <c r="J498" s="32"/>
      <c r="K498" s="32">
        <v>1</v>
      </c>
      <c r="L498" s="32">
        <v>5000</v>
      </c>
      <c r="M498" s="32"/>
      <c r="N498" s="32">
        <v>456</v>
      </c>
      <c r="O498" s="32"/>
      <c r="P498" s="32"/>
    </row>
    <row r="499" spans="1:16" ht="22.5" customHeight="1" x14ac:dyDescent="0.35">
      <c r="A499" s="52"/>
      <c r="B499" s="50" t="s">
        <v>760</v>
      </c>
      <c r="C499" s="54" t="s">
        <v>1624</v>
      </c>
      <c r="D499" s="32">
        <v>1</v>
      </c>
      <c r="E499" s="32"/>
      <c r="F499" s="32"/>
      <c r="G499" s="33"/>
      <c r="H499" s="32"/>
      <c r="I499" s="32"/>
      <c r="J499" s="32"/>
      <c r="K499" s="32"/>
      <c r="L499" s="32"/>
      <c r="M499" s="32"/>
      <c r="N499" s="32"/>
      <c r="O499" s="32"/>
      <c r="P499" s="32"/>
    </row>
    <row r="500" spans="1:16" ht="22.5" customHeight="1" x14ac:dyDescent="0.35">
      <c r="A500" s="52"/>
      <c r="B500" s="50" t="s">
        <v>761</v>
      </c>
      <c r="C500" s="54" t="s">
        <v>1625</v>
      </c>
      <c r="D500" s="32">
        <v>1</v>
      </c>
      <c r="E500" s="32"/>
      <c r="F500" s="32"/>
      <c r="G500" s="33"/>
      <c r="H500" s="32"/>
      <c r="I500" s="32"/>
      <c r="J500" s="32"/>
      <c r="K500" s="32"/>
      <c r="L500" s="32"/>
      <c r="M500" s="32"/>
      <c r="N500" s="32"/>
      <c r="O500" s="32"/>
      <c r="P500" s="32"/>
    </row>
    <row r="501" spans="1:16" ht="22.5" customHeight="1" x14ac:dyDescent="0.35">
      <c r="A501" s="52"/>
      <c r="B501" s="50" t="s">
        <v>296</v>
      </c>
      <c r="C501" s="54" t="s">
        <v>1626</v>
      </c>
      <c r="D501" s="32">
        <v>1</v>
      </c>
      <c r="E501" s="32"/>
      <c r="F501" s="32"/>
      <c r="G501" s="33"/>
      <c r="H501" s="32"/>
      <c r="I501" s="32"/>
      <c r="J501" s="32"/>
      <c r="K501" s="32"/>
      <c r="L501" s="32"/>
      <c r="M501" s="32"/>
      <c r="N501" s="32"/>
      <c r="O501" s="32"/>
      <c r="P501" s="32"/>
    </row>
    <row r="502" spans="1:16" ht="22.5" customHeight="1" x14ac:dyDescent="0.35">
      <c r="A502" s="52"/>
      <c r="B502" s="50" t="s">
        <v>762</v>
      </c>
      <c r="C502" s="54" t="s">
        <v>1627</v>
      </c>
      <c r="D502" s="32">
        <v>1</v>
      </c>
      <c r="E502" s="32"/>
      <c r="F502" s="32"/>
      <c r="G502" s="33"/>
      <c r="H502" s="32"/>
      <c r="I502" s="32"/>
      <c r="J502" s="32"/>
      <c r="K502" s="32"/>
      <c r="L502" s="32"/>
      <c r="M502" s="32"/>
      <c r="N502" s="32"/>
      <c r="O502" s="32"/>
      <c r="P502" s="32"/>
    </row>
    <row r="503" spans="1:16" ht="22.5" customHeight="1" x14ac:dyDescent="0.35">
      <c r="A503" s="52"/>
      <c r="B503" s="50" t="s">
        <v>763</v>
      </c>
      <c r="C503" s="54" t="s">
        <v>1628</v>
      </c>
      <c r="D503" s="32">
        <v>1</v>
      </c>
      <c r="E503" s="32"/>
      <c r="F503" s="32"/>
      <c r="G503" s="33"/>
      <c r="H503" s="32"/>
      <c r="I503" s="32"/>
      <c r="J503" s="32"/>
      <c r="K503" s="32"/>
      <c r="L503" s="32"/>
      <c r="M503" s="32"/>
      <c r="N503" s="32"/>
      <c r="O503" s="32"/>
      <c r="P503" s="32"/>
    </row>
    <row r="504" spans="1:16" ht="22.5" customHeight="1" x14ac:dyDescent="0.35">
      <c r="A504" s="52"/>
      <c r="B504" s="50" t="s">
        <v>764</v>
      </c>
      <c r="C504" s="54" t="s">
        <v>1629</v>
      </c>
      <c r="D504" s="32">
        <v>1</v>
      </c>
      <c r="E504" s="32"/>
      <c r="F504" s="36"/>
      <c r="G504" s="33"/>
      <c r="H504" s="32"/>
      <c r="I504" s="32"/>
      <c r="J504" s="32"/>
      <c r="K504" s="32"/>
      <c r="L504" s="32"/>
      <c r="M504" s="32"/>
      <c r="N504" s="32"/>
      <c r="O504" s="32"/>
      <c r="P504" s="32"/>
    </row>
    <row r="505" spans="1:16" ht="22.5" customHeight="1" x14ac:dyDescent="0.35">
      <c r="A505" s="52"/>
      <c r="B505" s="50" t="s">
        <v>765</v>
      </c>
      <c r="C505" s="54" t="s">
        <v>1630</v>
      </c>
      <c r="D505" s="32">
        <v>1</v>
      </c>
      <c r="E505" s="32"/>
      <c r="F505" s="32"/>
      <c r="G505" s="33"/>
      <c r="H505" s="32"/>
      <c r="I505" s="32"/>
      <c r="J505" s="32"/>
      <c r="K505" s="32"/>
      <c r="L505" s="32"/>
      <c r="M505" s="32"/>
      <c r="N505" s="32"/>
      <c r="O505" s="32"/>
      <c r="P505" s="32"/>
    </row>
    <row r="506" spans="1:16" ht="22.5" customHeight="1" x14ac:dyDescent="0.35">
      <c r="A506" s="52"/>
      <c r="B506" s="48" t="s">
        <v>151</v>
      </c>
      <c r="D506" s="32">
        <v>1</v>
      </c>
      <c r="E506" s="32"/>
      <c r="F506" s="32"/>
      <c r="G506" s="33"/>
      <c r="H506" s="32"/>
      <c r="I506" s="32"/>
      <c r="J506" s="32"/>
      <c r="K506" s="32"/>
      <c r="L506" s="32"/>
      <c r="M506" s="32"/>
      <c r="N506" s="32"/>
      <c r="O506" s="32"/>
      <c r="P506" s="32"/>
    </row>
    <row r="507" spans="1:16" ht="22.5" customHeight="1" x14ac:dyDescent="0.35">
      <c r="A507" s="52"/>
      <c r="B507" s="50" t="s">
        <v>766</v>
      </c>
      <c r="C507" s="54" t="s">
        <v>1631</v>
      </c>
      <c r="D507" s="32">
        <v>1</v>
      </c>
      <c r="E507" s="32"/>
      <c r="F507" s="32"/>
      <c r="G507" s="33"/>
      <c r="H507" s="32"/>
      <c r="I507" s="32"/>
      <c r="J507" s="32"/>
      <c r="K507" s="32"/>
      <c r="L507" s="32"/>
      <c r="M507" s="32"/>
      <c r="N507" s="32"/>
      <c r="O507" s="32"/>
      <c r="P507" s="32"/>
    </row>
    <row r="508" spans="1:16" ht="22.5" customHeight="1" x14ac:dyDescent="0.35">
      <c r="A508" s="52"/>
      <c r="B508" s="50" t="s">
        <v>767</v>
      </c>
      <c r="C508" s="54" t="s">
        <v>1632</v>
      </c>
      <c r="D508" s="32">
        <v>1</v>
      </c>
      <c r="E508" s="32"/>
      <c r="F508" s="32"/>
      <c r="G508" s="33"/>
      <c r="H508" s="32"/>
      <c r="I508" s="32"/>
      <c r="J508" s="32"/>
      <c r="K508" s="32"/>
      <c r="L508" s="32"/>
      <c r="M508" s="32"/>
      <c r="N508" s="32"/>
      <c r="O508" s="32"/>
      <c r="P508" s="32"/>
    </row>
    <row r="509" spans="1:16" ht="22.5" customHeight="1" x14ac:dyDescent="0.35">
      <c r="A509" s="52"/>
      <c r="B509" s="50" t="s">
        <v>768</v>
      </c>
      <c r="C509" s="54" t="s">
        <v>1633</v>
      </c>
      <c r="D509" s="32">
        <v>1</v>
      </c>
      <c r="E509" s="32"/>
      <c r="F509" s="32"/>
      <c r="G509" s="33"/>
      <c r="H509" s="32"/>
      <c r="I509" s="32"/>
      <c r="J509" s="32"/>
      <c r="K509" s="32"/>
      <c r="L509" s="32"/>
      <c r="M509" s="32"/>
      <c r="N509" s="32"/>
      <c r="O509" s="32"/>
      <c r="P509" s="32"/>
    </row>
    <row r="510" spans="1:16" ht="22.5" customHeight="1" x14ac:dyDescent="0.35">
      <c r="A510" s="52"/>
      <c r="B510" s="50" t="s">
        <v>769</v>
      </c>
      <c r="C510" s="54" t="s">
        <v>1634</v>
      </c>
      <c r="D510" s="32">
        <v>1</v>
      </c>
      <c r="E510" s="32"/>
      <c r="F510" s="32"/>
      <c r="G510" s="33"/>
      <c r="H510" s="32"/>
      <c r="I510" s="32"/>
      <c r="J510" s="32"/>
      <c r="K510" s="32"/>
      <c r="L510" s="32"/>
      <c r="M510" s="32"/>
      <c r="N510" s="32"/>
      <c r="O510" s="32"/>
      <c r="P510" s="32"/>
    </row>
    <row r="511" spans="1:16" ht="22.5" customHeight="1" x14ac:dyDescent="0.35">
      <c r="A511" s="52"/>
      <c r="B511" s="50" t="s">
        <v>770</v>
      </c>
      <c r="C511" s="54" t="s">
        <v>1635</v>
      </c>
      <c r="D511" s="32">
        <v>1</v>
      </c>
      <c r="E511" s="32"/>
      <c r="F511" s="32"/>
      <c r="G511" s="33"/>
      <c r="H511" s="32"/>
      <c r="I511" s="32"/>
      <c r="J511" s="32"/>
      <c r="K511" s="32"/>
      <c r="L511" s="32"/>
      <c r="M511" s="32"/>
      <c r="N511" s="32"/>
      <c r="O511" s="32"/>
      <c r="P511" s="32"/>
    </row>
    <row r="512" spans="1:16" ht="22.5" customHeight="1" x14ac:dyDescent="0.35">
      <c r="A512" s="52"/>
      <c r="B512" s="50" t="s">
        <v>771</v>
      </c>
      <c r="C512" s="54" t="s">
        <v>1636</v>
      </c>
      <c r="D512" s="32">
        <v>1</v>
      </c>
      <c r="E512" s="32"/>
      <c r="F512" s="32"/>
      <c r="G512" s="33"/>
      <c r="H512" s="32"/>
      <c r="I512" s="32"/>
      <c r="J512" s="32"/>
      <c r="K512" s="32"/>
      <c r="L512" s="32"/>
      <c r="M512" s="32"/>
      <c r="N512" s="32"/>
      <c r="O512" s="32"/>
      <c r="P512" s="32"/>
    </row>
    <row r="513" spans="1:16" ht="22.5" customHeight="1" x14ac:dyDescent="0.35">
      <c r="A513" s="52"/>
      <c r="B513" s="50" t="s">
        <v>772</v>
      </c>
      <c r="C513" s="54" t="s">
        <v>1637</v>
      </c>
      <c r="D513" s="32">
        <v>1</v>
      </c>
      <c r="E513" s="32"/>
      <c r="F513" s="32"/>
      <c r="G513" s="33"/>
      <c r="H513" s="32"/>
      <c r="I513" s="32"/>
      <c r="J513" s="32"/>
      <c r="K513" s="32"/>
      <c r="L513" s="32"/>
      <c r="M513" s="32"/>
      <c r="N513" s="32"/>
      <c r="O513" s="32"/>
      <c r="P513" s="32"/>
    </row>
    <row r="514" spans="1:16" ht="22.5" customHeight="1" x14ac:dyDescent="0.35">
      <c r="A514" s="52"/>
      <c r="B514" s="50" t="s">
        <v>773</v>
      </c>
      <c r="C514" s="54" t="s">
        <v>1638</v>
      </c>
      <c r="D514" s="32">
        <v>1</v>
      </c>
      <c r="E514" s="32"/>
      <c r="F514" s="32"/>
      <c r="G514" s="33"/>
      <c r="H514" s="32"/>
      <c r="I514" s="32"/>
      <c r="J514" s="32"/>
      <c r="K514" s="32"/>
      <c r="L514" s="32"/>
      <c r="M514" s="32"/>
      <c r="N514" s="32"/>
      <c r="O514" s="32"/>
      <c r="P514" s="32"/>
    </row>
    <row r="515" spans="1:16" ht="22.5" customHeight="1" x14ac:dyDescent="0.35">
      <c r="A515" s="52"/>
      <c r="B515" s="50" t="s">
        <v>774</v>
      </c>
      <c r="C515" s="54" t="s">
        <v>1639</v>
      </c>
      <c r="D515" s="32">
        <v>1</v>
      </c>
      <c r="E515" s="32"/>
      <c r="F515" s="32"/>
      <c r="G515" s="33"/>
      <c r="H515" s="32"/>
      <c r="I515" s="32"/>
      <c r="J515" s="32"/>
      <c r="K515" s="32"/>
      <c r="L515" s="32"/>
      <c r="M515" s="32"/>
      <c r="N515" s="32"/>
      <c r="O515" s="32"/>
      <c r="P515" s="32"/>
    </row>
    <row r="516" spans="1:16" ht="22.5" customHeight="1" x14ac:dyDescent="0.35">
      <c r="A516" s="52"/>
      <c r="B516" s="50" t="s">
        <v>775</v>
      </c>
      <c r="C516" s="54" t="s">
        <v>1640</v>
      </c>
      <c r="D516" s="32">
        <v>1</v>
      </c>
      <c r="E516" s="32"/>
      <c r="F516" s="32"/>
      <c r="G516" s="33"/>
      <c r="H516" s="32"/>
      <c r="I516" s="32"/>
      <c r="J516" s="32"/>
      <c r="K516" s="32"/>
      <c r="L516" s="32"/>
      <c r="M516" s="32"/>
      <c r="N516" s="32"/>
      <c r="O516" s="32"/>
      <c r="P516" s="32"/>
    </row>
    <row r="517" spans="1:16" ht="22.5" customHeight="1" x14ac:dyDescent="0.35">
      <c r="A517" s="52"/>
      <c r="B517" s="50" t="s">
        <v>776</v>
      </c>
      <c r="C517" s="54" t="s">
        <v>1641</v>
      </c>
      <c r="D517" s="32">
        <v>1</v>
      </c>
      <c r="E517" s="32"/>
      <c r="F517" s="32"/>
      <c r="G517" s="33"/>
      <c r="H517" s="32"/>
      <c r="I517" s="32"/>
      <c r="J517" s="32"/>
      <c r="K517" s="32"/>
      <c r="L517" s="32"/>
      <c r="M517" s="32"/>
      <c r="N517" s="32"/>
      <c r="O517" s="32"/>
      <c r="P517" s="32"/>
    </row>
    <row r="518" spans="1:16" ht="22.5" customHeight="1" x14ac:dyDescent="0.35">
      <c r="A518" s="52"/>
      <c r="B518" s="50" t="s">
        <v>777</v>
      </c>
      <c r="C518" s="54" t="s">
        <v>1642</v>
      </c>
      <c r="D518" s="32">
        <v>1</v>
      </c>
      <c r="E518" s="32"/>
      <c r="F518" s="32"/>
      <c r="G518" s="33"/>
      <c r="H518" s="32"/>
      <c r="I518" s="32"/>
      <c r="J518" s="32"/>
      <c r="K518" s="32"/>
      <c r="L518" s="32"/>
      <c r="M518" s="32"/>
      <c r="N518" s="32"/>
      <c r="O518" s="32"/>
      <c r="P518" s="32"/>
    </row>
    <row r="519" spans="1:16" ht="22.5" customHeight="1" x14ac:dyDescent="0.35">
      <c r="A519" s="52"/>
      <c r="B519" s="37" t="s">
        <v>778</v>
      </c>
      <c r="C519" s="54" t="s">
        <v>1643</v>
      </c>
      <c r="D519" s="32">
        <v>1</v>
      </c>
      <c r="E519" s="32"/>
      <c r="F519" s="32"/>
      <c r="G519" s="33"/>
      <c r="H519" s="32"/>
      <c r="I519" s="32"/>
      <c r="J519" s="32"/>
      <c r="K519" s="32"/>
      <c r="L519" s="32"/>
      <c r="M519" s="32"/>
      <c r="N519" s="32"/>
      <c r="O519" s="32"/>
      <c r="P519" s="32"/>
    </row>
    <row r="520" spans="1:16" ht="22.5" customHeight="1" x14ac:dyDescent="0.35">
      <c r="A520" s="52"/>
      <c r="B520" s="48" t="s">
        <v>152</v>
      </c>
      <c r="D520" s="32">
        <v>1</v>
      </c>
      <c r="E520" s="32"/>
      <c r="F520" s="32"/>
      <c r="G520" s="33"/>
      <c r="H520" s="32"/>
      <c r="I520" s="32"/>
      <c r="J520" s="32"/>
      <c r="K520" s="32"/>
      <c r="L520" s="32"/>
      <c r="M520" s="32"/>
      <c r="N520" s="32"/>
      <c r="O520" s="32"/>
      <c r="P520" s="32"/>
    </row>
    <row r="521" spans="1:16" ht="22.5" customHeight="1" x14ac:dyDescent="0.35">
      <c r="A521" s="52"/>
      <c r="B521" s="37" t="s">
        <v>779</v>
      </c>
      <c r="C521" s="54" t="s">
        <v>1644</v>
      </c>
      <c r="D521" s="32">
        <v>1</v>
      </c>
      <c r="E521" s="32"/>
      <c r="F521" s="32"/>
      <c r="G521" s="33"/>
      <c r="H521" s="32"/>
      <c r="I521" s="32"/>
      <c r="J521" s="32"/>
      <c r="K521" s="32"/>
      <c r="L521" s="32"/>
      <c r="M521" s="32"/>
      <c r="N521" s="32"/>
      <c r="O521" s="32"/>
      <c r="P521" s="32"/>
    </row>
    <row r="522" spans="1:16" ht="22.5" customHeight="1" x14ac:dyDescent="0.35">
      <c r="A522" s="52"/>
      <c r="B522" s="37" t="s">
        <v>780</v>
      </c>
      <c r="C522" s="54" t="s">
        <v>1645</v>
      </c>
      <c r="D522" s="32">
        <v>1</v>
      </c>
      <c r="E522" s="32"/>
      <c r="F522" s="32"/>
      <c r="G522" s="33"/>
      <c r="H522" s="32"/>
      <c r="I522" s="32"/>
      <c r="J522" s="32"/>
      <c r="K522" s="32"/>
      <c r="L522" s="32"/>
      <c r="M522" s="32"/>
      <c r="N522" s="32"/>
      <c r="O522" s="32"/>
      <c r="P522" s="32"/>
    </row>
    <row r="523" spans="1:16" ht="22.5" customHeight="1" x14ac:dyDescent="0.35">
      <c r="A523" s="52"/>
      <c r="B523" s="37" t="s">
        <v>781</v>
      </c>
      <c r="C523" s="54" t="s">
        <v>1646</v>
      </c>
      <c r="D523" s="32">
        <v>1</v>
      </c>
      <c r="E523" s="32"/>
      <c r="F523" s="32"/>
      <c r="G523" s="33"/>
      <c r="H523" s="32"/>
      <c r="I523" s="32"/>
      <c r="J523" s="32"/>
      <c r="K523" s="32"/>
      <c r="L523" s="32"/>
      <c r="M523" s="32"/>
      <c r="N523" s="32"/>
      <c r="O523" s="32"/>
      <c r="P523" s="32"/>
    </row>
    <row r="524" spans="1:16" ht="22.5" customHeight="1" x14ac:dyDescent="0.35">
      <c r="A524" s="52"/>
      <c r="B524" s="37" t="s">
        <v>782</v>
      </c>
      <c r="C524" s="54" t="s">
        <v>1647</v>
      </c>
      <c r="D524" s="32">
        <v>1</v>
      </c>
      <c r="E524" s="32"/>
      <c r="F524" s="32"/>
      <c r="G524" s="33"/>
      <c r="H524" s="32"/>
      <c r="I524" s="32"/>
      <c r="J524" s="32"/>
      <c r="K524" s="32"/>
      <c r="L524" s="32"/>
      <c r="M524" s="32"/>
      <c r="N524" s="32"/>
      <c r="O524" s="32"/>
      <c r="P524" s="32"/>
    </row>
    <row r="525" spans="1:16" ht="22.5" customHeight="1" x14ac:dyDescent="0.35">
      <c r="A525" s="52"/>
      <c r="B525" s="37" t="s">
        <v>783</v>
      </c>
      <c r="C525" s="54" t="s">
        <v>1648</v>
      </c>
      <c r="D525" s="32">
        <v>1</v>
      </c>
      <c r="E525" s="32"/>
      <c r="F525" s="32"/>
      <c r="G525" s="33"/>
      <c r="H525" s="32"/>
      <c r="I525" s="32"/>
      <c r="J525" s="32"/>
      <c r="K525" s="32"/>
      <c r="L525" s="32"/>
      <c r="M525" s="32"/>
      <c r="N525" s="32"/>
      <c r="O525" s="32"/>
      <c r="P525" s="32"/>
    </row>
    <row r="526" spans="1:16" ht="22.5" customHeight="1" x14ac:dyDescent="0.35">
      <c r="A526" s="52"/>
      <c r="B526" s="37" t="s">
        <v>1649</v>
      </c>
      <c r="C526" s="54" t="s">
        <v>1650</v>
      </c>
      <c r="D526" s="32">
        <v>1</v>
      </c>
      <c r="E526" s="32"/>
      <c r="F526" s="32"/>
      <c r="G526" s="33"/>
      <c r="H526" s="32"/>
      <c r="I526" s="32"/>
      <c r="J526" s="32"/>
      <c r="K526" s="32"/>
      <c r="L526" s="32"/>
      <c r="M526" s="32"/>
      <c r="N526" s="32"/>
      <c r="O526" s="32"/>
      <c r="P526" s="32"/>
    </row>
    <row r="527" spans="1:16" ht="22.5" customHeight="1" x14ac:dyDescent="0.35">
      <c r="A527" s="52"/>
      <c r="B527" s="37" t="s">
        <v>1651</v>
      </c>
      <c r="C527" s="54" t="s">
        <v>1652</v>
      </c>
      <c r="D527" s="32">
        <v>1</v>
      </c>
      <c r="E527" s="32"/>
      <c r="F527" s="32"/>
      <c r="G527" s="33"/>
      <c r="H527" s="32"/>
      <c r="I527" s="32"/>
      <c r="J527" s="32"/>
      <c r="K527" s="32"/>
      <c r="L527" s="32"/>
      <c r="M527" s="32"/>
      <c r="N527" s="32"/>
      <c r="O527" s="32"/>
      <c r="P527" s="32"/>
    </row>
    <row r="528" spans="1:16" ht="22.5" customHeight="1" x14ac:dyDescent="0.35">
      <c r="A528" s="52"/>
      <c r="B528" s="37" t="s">
        <v>784</v>
      </c>
      <c r="C528" s="54" t="s">
        <v>1653</v>
      </c>
      <c r="D528" s="32">
        <v>1</v>
      </c>
      <c r="E528" s="32"/>
      <c r="F528" s="32"/>
      <c r="G528" s="33"/>
      <c r="H528" s="32"/>
      <c r="I528" s="32"/>
      <c r="J528" s="32"/>
      <c r="K528" s="32"/>
      <c r="L528" s="32"/>
      <c r="M528" s="32"/>
      <c r="N528" s="32"/>
      <c r="O528" s="32"/>
      <c r="P528" s="32"/>
    </row>
    <row r="529" spans="1:16" ht="22.5" customHeight="1" x14ac:dyDescent="0.35">
      <c r="A529" s="52"/>
      <c r="B529" s="37" t="s">
        <v>785</v>
      </c>
      <c r="C529" s="54" t="s">
        <v>1654</v>
      </c>
      <c r="D529" s="32">
        <v>1</v>
      </c>
      <c r="E529" s="32"/>
      <c r="F529" s="32"/>
      <c r="G529" s="33"/>
      <c r="H529" s="32"/>
      <c r="I529" s="32"/>
      <c r="J529" s="32"/>
      <c r="K529" s="32"/>
      <c r="L529" s="32"/>
      <c r="M529" s="32"/>
      <c r="N529" s="32"/>
      <c r="O529" s="32"/>
      <c r="P529" s="32"/>
    </row>
    <row r="530" spans="1:16" ht="22.5" customHeight="1" x14ac:dyDescent="0.35">
      <c r="A530" s="52"/>
      <c r="B530" s="37" t="s">
        <v>786</v>
      </c>
      <c r="C530" s="54" t="s">
        <v>1655</v>
      </c>
      <c r="D530" s="32">
        <v>1</v>
      </c>
      <c r="E530" s="32"/>
      <c r="F530" s="32"/>
      <c r="G530" s="33"/>
      <c r="H530" s="32"/>
      <c r="I530" s="32"/>
      <c r="J530" s="32"/>
      <c r="K530" s="32"/>
      <c r="L530" s="32"/>
      <c r="M530" s="32"/>
      <c r="N530" s="32"/>
      <c r="O530" s="32"/>
      <c r="P530" s="32"/>
    </row>
    <row r="531" spans="1:16" ht="22.5" customHeight="1" x14ac:dyDescent="0.35">
      <c r="A531" s="52"/>
      <c r="B531" s="37" t="s">
        <v>787</v>
      </c>
      <c r="C531" s="54" t="s">
        <v>1656</v>
      </c>
      <c r="D531" s="32"/>
      <c r="E531" s="32"/>
      <c r="F531" s="32"/>
      <c r="G531" s="33"/>
      <c r="H531" s="32"/>
      <c r="I531" s="32"/>
      <c r="J531" s="32"/>
      <c r="K531" s="32"/>
      <c r="L531" s="32"/>
      <c r="M531" s="32"/>
      <c r="N531" s="32"/>
      <c r="O531" s="32"/>
      <c r="P531" s="32"/>
    </row>
    <row r="532" spans="1:16" ht="22.5" customHeight="1" x14ac:dyDescent="0.35">
      <c r="A532" s="45"/>
      <c r="B532" s="45" t="s">
        <v>73</v>
      </c>
      <c r="C532" s="46"/>
      <c r="D532" s="32"/>
      <c r="E532" s="32"/>
      <c r="F532" s="32"/>
      <c r="G532" s="33"/>
      <c r="H532" s="32"/>
      <c r="I532" s="32"/>
      <c r="J532" s="32"/>
      <c r="K532" s="32"/>
      <c r="L532" s="32"/>
      <c r="M532" s="32"/>
      <c r="N532" s="32"/>
      <c r="O532" s="32"/>
      <c r="P532" s="32"/>
    </row>
    <row r="533" spans="1:16" ht="22.5" customHeight="1" x14ac:dyDescent="0.35">
      <c r="A533" s="52"/>
      <c r="B533" s="48" t="s">
        <v>788</v>
      </c>
      <c r="D533" s="32">
        <v>1</v>
      </c>
      <c r="E533" s="32"/>
      <c r="F533" s="32"/>
      <c r="G533" s="33"/>
      <c r="H533" s="32"/>
      <c r="I533" s="32"/>
      <c r="J533" s="32"/>
      <c r="K533" s="32"/>
      <c r="L533" s="32"/>
      <c r="M533" s="32"/>
      <c r="N533" s="32"/>
      <c r="O533" s="32"/>
      <c r="P533" s="32"/>
    </row>
    <row r="534" spans="1:16" ht="22.5" customHeight="1" x14ac:dyDescent="0.35">
      <c r="A534" s="52"/>
      <c r="B534" s="66" t="s">
        <v>789</v>
      </c>
      <c r="C534" s="54" t="s">
        <v>1657</v>
      </c>
      <c r="D534" s="32">
        <v>1</v>
      </c>
      <c r="E534" s="32"/>
      <c r="F534" s="32"/>
      <c r="G534" s="33"/>
      <c r="H534" s="32"/>
      <c r="I534" s="32"/>
      <c r="J534" s="32"/>
      <c r="K534" s="32"/>
      <c r="L534" s="32"/>
      <c r="M534" s="32"/>
      <c r="N534" s="32"/>
      <c r="O534" s="32"/>
      <c r="P534" s="32"/>
    </row>
    <row r="535" spans="1:16" ht="22.5" customHeight="1" x14ac:dyDescent="0.35">
      <c r="A535" s="52"/>
      <c r="B535" s="66" t="s">
        <v>790</v>
      </c>
      <c r="C535" s="54" t="s">
        <v>1658</v>
      </c>
      <c r="D535" s="32">
        <v>1</v>
      </c>
      <c r="E535" s="32"/>
      <c r="F535" s="32"/>
      <c r="G535" s="33"/>
      <c r="H535" s="32"/>
      <c r="I535" s="32"/>
      <c r="J535" s="32"/>
      <c r="K535" s="32"/>
      <c r="L535" s="32"/>
      <c r="M535" s="32"/>
      <c r="N535" s="32"/>
      <c r="O535" s="32"/>
      <c r="P535" s="32"/>
    </row>
    <row r="536" spans="1:16" ht="22.5" customHeight="1" x14ac:dyDescent="0.35">
      <c r="A536" s="52"/>
      <c r="B536" s="66" t="s">
        <v>791</v>
      </c>
      <c r="C536" s="54" t="s">
        <v>1659</v>
      </c>
      <c r="D536" s="32">
        <v>1</v>
      </c>
      <c r="E536" s="32"/>
      <c r="F536" s="32"/>
      <c r="G536" s="33"/>
      <c r="H536" s="32"/>
      <c r="I536" s="32"/>
      <c r="J536" s="32"/>
      <c r="K536" s="32"/>
      <c r="L536" s="32"/>
      <c r="M536" s="32"/>
      <c r="N536" s="32"/>
      <c r="O536" s="32"/>
      <c r="P536" s="32"/>
    </row>
    <row r="537" spans="1:16" ht="22.5" customHeight="1" x14ac:dyDescent="0.35">
      <c r="A537" s="52"/>
      <c r="B537" s="66" t="s">
        <v>792</v>
      </c>
      <c r="C537" s="54" t="s">
        <v>1660</v>
      </c>
      <c r="D537" s="32">
        <v>1</v>
      </c>
      <c r="E537" s="32"/>
      <c r="F537" s="32"/>
      <c r="G537" s="33"/>
      <c r="H537" s="32"/>
      <c r="I537" s="32"/>
      <c r="J537" s="32"/>
      <c r="K537" s="32"/>
      <c r="L537" s="32"/>
      <c r="M537" s="32"/>
      <c r="N537" s="32"/>
      <c r="O537" s="32"/>
      <c r="P537" s="32"/>
    </row>
    <row r="538" spans="1:16" ht="22.5" customHeight="1" x14ac:dyDescent="0.35">
      <c r="A538" s="52"/>
      <c r="B538" s="66" t="s">
        <v>793</v>
      </c>
      <c r="C538" s="54" t="s">
        <v>1661</v>
      </c>
      <c r="D538" s="32">
        <v>1</v>
      </c>
      <c r="E538" s="32"/>
      <c r="F538" s="32"/>
      <c r="G538" s="33"/>
      <c r="H538" s="32"/>
      <c r="I538" s="32"/>
      <c r="J538" s="32"/>
      <c r="K538" s="32"/>
      <c r="L538" s="32"/>
      <c r="M538" s="32"/>
      <c r="N538" s="32"/>
      <c r="O538" s="32"/>
      <c r="P538" s="32"/>
    </row>
    <row r="539" spans="1:16" ht="22.5" customHeight="1" x14ac:dyDescent="0.35">
      <c r="A539" s="52"/>
      <c r="B539" s="50" t="s">
        <v>794</v>
      </c>
      <c r="C539" s="54" t="s">
        <v>1662</v>
      </c>
      <c r="D539" s="32">
        <v>1</v>
      </c>
      <c r="E539" s="32"/>
      <c r="F539" s="32"/>
      <c r="G539" s="33"/>
      <c r="H539" s="32"/>
      <c r="I539" s="32"/>
      <c r="J539" s="32"/>
      <c r="K539" s="32"/>
      <c r="L539" s="32"/>
      <c r="M539" s="32"/>
      <c r="N539" s="32"/>
      <c r="O539" s="32"/>
      <c r="P539" s="32"/>
    </row>
    <row r="540" spans="1:16" ht="22.5" customHeight="1" x14ac:dyDescent="0.35">
      <c r="A540" s="52"/>
      <c r="B540" s="50" t="s">
        <v>795</v>
      </c>
      <c r="C540" s="54" t="s">
        <v>1663</v>
      </c>
      <c r="D540" s="32">
        <v>1</v>
      </c>
      <c r="E540" s="32">
        <v>96</v>
      </c>
      <c r="F540" s="32">
        <v>960</v>
      </c>
      <c r="G540" s="33"/>
      <c r="H540" s="32">
        <v>10000</v>
      </c>
      <c r="I540" s="32"/>
      <c r="J540" s="32"/>
      <c r="K540" s="32">
        <v>1</v>
      </c>
      <c r="L540" s="32">
        <v>2000</v>
      </c>
      <c r="M540" s="32"/>
      <c r="N540" s="32"/>
      <c r="O540" s="32"/>
      <c r="P540" s="32">
        <v>2500</v>
      </c>
    </row>
    <row r="541" spans="1:16" ht="22.5" customHeight="1" x14ac:dyDescent="0.35">
      <c r="A541" s="52"/>
      <c r="B541" s="50" t="s">
        <v>796</v>
      </c>
      <c r="C541" s="54" t="s">
        <v>1664</v>
      </c>
      <c r="D541" s="32">
        <v>1</v>
      </c>
      <c r="E541" s="32"/>
      <c r="F541" s="32"/>
      <c r="G541" s="33"/>
      <c r="H541" s="32"/>
      <c r="I541" s="32"/>
      <c r="J541" s="32"/>
      <c r="K541" s="32"/>
      <c r="L541" s="32"/>
      <c r="M541" s="32"/>
      <c r="N541" s="32"/>
      <c r="O541" s="32"/>
      <c r="P541" s="32"/>
    </row>
    <row r="542" spans="1:16" ht="22.5" customHeight="1" x14ac:dyDescent="0.35">
      <c r="A542" s="52"/>
      <c r="B542" s="50" t="s">
        <v>797</v>
      </c>
      <c r="C542" s="54" t="s">
        <v>1665</v>
      </c>
      <c r="D542" s="32">
        <v>1</v>
      </c>
      <c r="E542" s="32"/>
      <c r="F542" s="32"/>
      <c r="G542" s="33"/>
      <c r="H542" s="32"/>
      <c r="I542" s="32"/>
      <c r="J542" s="32"/>
      <c r="K542" s="32"/>
      <c r="L542" s="32"/>
      <c r="M542" s="32"/>
      <c r="N542" s="32"/>
      <c r="O542" s="32"/>
      <c r="P542" s="32"/>
    </row>
    <row r="543" spans="1:16" ht="22.5" customHeight="1" x14ac:dyDescent="0.35">
      <c r="A543" s="52"/>
      <c r="B543" s="48" t="s">
        <v>153</v>
      </c>
      <c r="D543" s="32">
        <v>1</v>
      </c>
      <c r="E543" s="32">
        <v>96</v>
      </c>
      <c r="F543" s="32">
        <v>960</v>
      </c>
      <c r="G543" s="33"/>
      <c r="H543" s="32">
        <v>10000</v>
      </c>
      <c r="I543" s="32"/>
      <c r="J543" s="32"/>
      <c r="K543" s="32">
        <v>1</v>
      </c>
      <c r="L543" s="32">
        <v>2000</v>
      </c>
      <c r="M543" s="32"/>
      <c r="N543" s="32"/>
      <c r="O543" s="32"/>
      <c r="P543" s="32">
        <v>2500</v>
      </c>
    </row>
    <row r="544" spans="1:16" ht="22.5" customHeight="1" x14ac:dyDescent="0.35">
      <c r="A544" s="52"/>
      <c r="B544" s="50" t="s">
        <v>798</v>
      </c>
      <c r="C544" s="54" t="s">
        <v>1666</v>
      </c>
      <c r="D544" s="32">
        <v>1</v>
      </c>
      <c r="E544" s="32"/>
      <c r="F544" s="32"/>
      <c r="G544" s="33"/>
      <c r="H544" s="32"/>
      <c r="I544" s="32"/>
      <c r="J544" s="32"/>
      <c r="K544" s="32"/>
      <c r="L544" s="32"/>
      <c r="M544" s="32"/>
      <c r="N544" s="32"/>
      <c r="O544" s="32"/>
      <c r="P544" s="32"/>
    </row>
    <row r="545" spans="1:16" ht="22.5" customHeight="1" x14ac:dyDescent="0.35">
      <c r="A545" s="52"/>
      <c r="B545" s="50" t="s">
        <v>561</v>
      </c>
      <c r="C545" s="54" t="s">
        <v>1667</v>
      </c>
      <c r="D545" s="32">
        <v>1</v>
      </c>
      <c r="E545" s="32"/>
      <c r="F545" s="32"/>
      <c r="G545" s="33"/>
      <c r="H545" s="32"/>
      <c r="I545" s="32"/>
      <c r="J545" s="32"/>
      <c r="K545" s="32"/>
      <c r="L545" s="32"/>
      <c r="M545" s="32"/>
      <c r="N545" s="32"/>
      <c r="O545" s="32"/>
      <c r="P545" s="32"/>
    </row>
    <row r="546" spans="1:16" ht="22.5" customHeight="1" x14ac:dyDescent="0.35">
      <c r="A546" s="52"/>
      <c r="B546" s="50" t="s">
        <v>562</v>
      </c>
      <c r="C546" s="54" t="s">
        <v>1668</v>
      </c>
      <c r="D546" s="32">
        <v>1</v>
      </c>
      <c r="E546" s="32"/>
      <c r="F546" s="32"/>
      <c r="G546" s="33"/>
      <c r="H546" s="32"/>
      <c r="I546" s="32"/>
      <c r="J546" s="32"/>
      <c r="K546" s="32"/>
      <c r="L546" s="32"/>
      <c r="M546" s="32"/>
      <c r="N546" s="32"/>
      <c r="O546" s="32"/>
      <c r="P546" s="32"/>
    </row>
    <row r="547" spans="1:16" ht="22.5" customHeight="1" x14ac:dyDescent="0.35">
      <c r="A547" s="52"/>
      <c r="B547" s="50" t="s">
        <v>563</v>
      </c>
      <c r="C547" s="54" t="s">
        <v>1669</v>
      </c>
      <c r="D547" s="32">
        <v>1</v>
      </c>
      <c r="E547" s="32"/>
      <c r="F547" s="32"/>
      <c r="G547" s="33"/>
      <c r="H547" s="32"/>
      <c r="I547" s="32"/>
      <c r="J547" s="32"/>
      <c r="K547" s="32"/>
      <c r="L547" s="32"/>
      <c r="M547" s="32"/>
      <c r="N547" s="32"/>
      <c r="O547" s="32"/>
      <c r="P547" s="32"/>
    </row>
    <row r="548" spans="1:16" ht="22.5" customHeight="1" x14ac:dyDescent="0.35">
      <c r="A548" s="52"/>
      <c r="B548" s="50" t="s">
        <v>564</v>
      </c>
      <c r="C548" s="54" t="s">
        <v>1670</v>
      </c>
      <c r="D548" s="32">
        <v>1</v>
      </c>
      <c r="E548" s="32">
        <v>96</v>
      </c>
      <c r="F548" s="32">
        <v>960</v>
      </c>
      <c r="G548" s="33"/>
      <c r="H548" s="32">
        <v>10000</v>
      </c>
      <c r="I548" s="32"/>
      <c r="J548" s="32"/>
      <c r="K548" s="32">
        <v>1</v>
      </c>
      <c r="L548" s="32">
        <v>2000</v>
      </c>
      <c r="M548" s="32"/>
      <c r="N548" s="32"/>
      <c r="O548" s="32"/>
      <c r="P548" s="32">
        <v>2500</v>
      </c>
    </row>
    <row r="549" spans="1:16" ht="22.5" customHeight="1" x14ac:dyDescent="0.35">
      <c r="A549" s="52"/>
      <c r="B549" s="50" t="s">
        <v>799</v>
      </c>
      <c r="C549" s="54" t="s">
        <v>1671</v>
      </c>
      <c r="D549" s="32">
        <v>1</v>
      </c>
      <c r="E549" s="32"/>
      <c r="F549" s="32"/>
      <c r="G549" s="33"/>
      <c r="H549" s="32"/>
      <c r="I549" s="32"/>
      <c r="J549" s="32"/>
      <c r="K549" s="32"/>
      <c r="L549" s="32"/>
      <c r="M549" s="32"/>
      <c r="N549" s="32"/>
      <c r="O549" s="32"/>
      <c r="P549" s="32"/>
    </row>
    <row r="550" spans="1:16" ht="22.5" customHeight="1" x14ac:dyDescent="0.35">
      <c r="A550" s="52"/>
      <c r="B550" s="50" t="s">
        <v>800</v>
      </c>
      <c r="C550" s="54" t="s">
        <v>1672</v>
      </c>
      <c r="D550" s="32">
        <v>1</v>
      </c>
      <c r="E550" s="32"/>
      <c r="F550" s="32"/>
      <c r="G550" s="33"/>
      <c r="H550" s="32"/>
      <c r="I550" s="32"/>
      <c r="J550" s="32"/>
      <c r="K550" s="32"/>
      <c r="L550" s="32"/>
      <c r="M550" s="32"/>
      <c r="N550" s="32"/>
      <c r="O550" s="32"/>
      <c r="P550" s="32"/>
    </row>
    <row r="551" spans="1:16" ht="22.5" customHeight="1" x14ac:dyDescent="0.35">
      <c r="A551" s="52"/>
      <c r="B551" s="50" t="s">
        <v>568</v>
      </c>
      <c r="C551" s="54" t="s">
        <v>1673</v>
      </c>
      <c r="D551" s="32">
        <v>1</v>
      </c>
      <c r="E551" s="32"/>
      <c r="F551" s="32"/>
      <c r="G551" s="33"/>
      <c r="H551" s="32"/>
      <c r="I551" s="32"/>
      <c r="J551" s="32"/>
      <c r="K551" s="32"/>
      <c r="L551" s="32"/>
      <c r="M551" s="32"/>
      <c r="N551" s="32"/>
      <c r="O551" s="32"/>
      <c r="P551" s="32"/>
    </row>
    <row r="552" spans="1:16" ht="22.5" customHeight="1" x14ac:dyDescent="0.35">
      <c r="A552" s="52"/>
      <c r="B552" s="48" t="s">
        <v>154</v>
      </c>
      <c r="D552" s="32">
        <v>1</v>
      </c>
      <c r="E552" s="32"/>
      <c r="F552" s="32"/>
      <c r="G552" s="33"/>
      <c r="H552" s="32"/>
      <c r="I552" s="32"/>
      <c r="J552" s="32"/>
      <c r="K552" s="32"/>
      <c r="L552" s="32"/>
      <c r="M552" s="32"/>
      <c r="N552" s="32"/>
      <c r="O552" s="32"/>
      <c r="P552" s="32"/>
    </row>
    <row r="553" spans="1:16" ht="22.5" customHeight="1" x14ac:dyDescent="0.35">
      <c r="A553" s="52"/>
      <c r="B553" s="50" t="s">
        <v>577</v>
      </c>
      <c r="C553" s="54" t="s">
        <v>1674</v>
      </c>
      <c r="D553" s="32">
        <v>1</v>
      </c>
      <c r="E553" s="32"/>
      <c r="F553" s="32"/>
      <c r="G553" s="33"/>
      <c r="H553" s="32"/>
      <c r="I553" s="32"/>
      <c r="J553" s="32"/>
      <c r="K553" s="32"/>
      <c r="L553" s="32"/>
      <c r="M553" s="32"/>
      <c r="N553" s="32"/>
      <c r="O553" s="32"/>
      <c r="P553" s="32"/>
    </row>
    <row r="554" spans="1:16" ht="22.5" customHeight="1" x14ac:dyDescent="0.35">
      <c r="A554" s="52"/>
      <c r="B554" s="50" t="s">
        <v>578</v>
      </c>
      <c r="C554" s="54" t="s">
        <v>1675</v>
      </c>
      <c r="D554" s="32">
        <v>1</v>
      </c>
      <c r="E554" s="32"/>
      <c r="F554" s="32"/>
      <c r="G554" s="33"/>
      <c r="H554" s="32"/>
      <c r="I554" s="32"/>
      <c r="J554" s="32"/>
      <c r="K554" s="32"/>
      <c r="L554" s="32"/>
      <c r="M554" s="32"/>
      <c r="N554" s="32"/>
      <c r="O554" s="32"/>
      <c r="P554" s="32"/>
    </row>
    <row r="555" spans="1:16" ht="22.5" customHeight="1" x14ac:dyDescent="0.35">
      <c r="A555" s="52"/>
      <c r="B555" s="50" t="s">
        <v>579</v>
      </c>
      <c r="C555" s="54" t="s">
        <v>1676</v>
      </c>
      <c r="D555" s="32">
        <v>1</v>
      </c>
      <c r="E555" s="32"/>
      <c r="F555" s="32"/>
      <c r="G555" s="33"/>
      <c r="H555" s="32"/>
      <c r="I555" s="32"/>
      <c r="J555" s="32"/>
      <c r="K555" s="32"/>
      <c r="L555" s="32"/>
      <c r="M555" s="32"/>
      <c r="N555" s="32"/>
      <c r="O555" s="32"/>
      <c r="P555" s="32"/>
    </row>
    <row r="556" spans="1:16" ht="22.5" customHeight="1" x14ac:dyDescent="0.35">
      <c r="A556" s="52"/>
      <c r="B556" s="50" t="s">
        <v>801</v>
      </c>
      <c r="C556" s="54" t="s">
        <v>1677</v>
      </c>
      <c r="D556" s="32">
        <v>1</v>
      </c>
      <c r="E556" s="32"/>
      <c r="F556" s="32"/>
      <c r="G556" s="33"/>
      <c r="H556" s="32"/>
      <c r="I556" s="32"/>
      <c r="J556" s="32"/>
      <c r="K556" s="32"/>
      <c r="L556" s="32"/>
      <c r="M556" s="32"/>
      <c r="N556" s="32"/>
      <c r="O556" s="32"/>
      <c r="P556" s="32"/>
    </row>
    <row r="557" spans="1:16" ht="22.5" customHeight="1" x14ac:dyDescent="0.35">
      <c r="A557" s="52"/>
      <c r="B557" s="50" t="s">
        <v>802</v>
      </c>
      <c r="C557" s="54" t="s">
        <v>1678</v>
      </c>
      <c r="D557" s="32">
        <v>1</v>
      </c>
      <c r="E557" s="32"/>
      <c r="F557" s="32"/>
      <c r="G557" s="33"/>
      <c r="H557" s="32"/>
      <c r="I557" s="32"/>
      <c r="J557" s="32"/>
      <c r="K557" s="32"/>
      <c r="L557" s="32"/>
      <c r="M557" s="32"/>
      <c r="N557" s="32"/>
      <c r="O557" s="32"/>
      <c r="P557" s="32"/>
    </row>
    <row r="558" spans="1:16" ht="22.5" customHeight="1" x14ac:dyDescent="0.35">
      <c r="A558" s="52"/>
      <c r="B558" s="50" t="s">
        <v>803</v>
      </c>
      <c r="C558" s="54" t="s">
        <v>1679</v>
      </c>
      <c r="D558" s="32">
        <v>1</v>
      </c>
      <c r="E558" s="32"/>
      <c r="F558" s="32"/>
      <c r="G558" s="33"/>
      <c r="H558" s="32"/>
      <c r="I558" s="32"/>
      <c r="J558" s="32"/>
      <c r="K558" s="32"/>
      <c r="L558" s="32"/>
      <c r="M558" s="32"/>
      <c r="N558" s="32"/>
      <c r="O558" s="32"/>
      <c r="P558" s="32"/>
    </row>
    <row r="559" spans="1:16" ht="22.5" customHeight="1" x14ac:dyDescent="0.35">
      <c r="A559" s="52"/>
      <c r="B559" s="50" t="s">
        <v>804</v>
      </c>
      <c r="C559" s="54" t="s">
        <v>1680</v>
      </c>
      <c r="D559" s="32"/>
      <c r="E559" s="32"/>
      <c r="F559" s="32"/>
      <c r="G559" s="33"/>
      <c r="H559" s="32"/>
      <c r="I559" s="32"/>
      <c r="J559" s="32"/>
      <c r="K559" s="32"/>
      <c r="L559" s="32"/>
      <c r="M559" s="32"/>
      <c r="N559" s="32"/>
      <c r="O559" s="32"/>
      <c r="P559" s="32"/>
    </row>
    <row r="560" spans="1:16" ht="22.5" customHeight="1" x14ac:dyDescent="0.35">
      <c r="A560" s="67"/>
      <c r="B560" s="67" t="s">
        <v>75</v>
      </c>
      <c r="C560" s="46"/>
      <c r="D560" s="32"/>
      <c r="E560" s="32"/>
      <c r="F560" s="32"/>
      <c r="G560" s="33"/>
      <c r="H560" s="32"/>
      <c r="I560" s="32"/>
      <c r="J560" s="32"/>
      <c r="K560" s="32"/>
      <c r="L560" s="32"/>
      <c r="M560" s="32"/>
      <c r="N560" s="32"/>
      <c r="O560" s="32"/>
      <c r="P560" s="32"/>
    </row>
    <row r="561" spans="1:16" ht="22.5" customHeight="1" x14ac:dyDescent="0.35">
      <c r="A561" s="52"/>
      <c r="B561" s="48" t="s">
        <v>157</v>
      </c>
      <c r="D561" s="32">
        <v>1</v>
      </c>
      <c r="E561" s="32"/>
      <c r="F561" s="32"/>
      <c r="G561" s="33"/>
      <c r="H561" s="32"/>
      <c r="I561" s="32"/>
      <c r="J561" s="32"/>
      <c r="K561" s="32"/>
      <c r="L561" s="32"/>
      <c r="M561" s="32"/>
      <c r="N561" s="32"/>
      <c r="O561" s="32"/>
      <c r="P561" s="32"/>
    </row>
    <row r="562" spans="1:16" ht="22.5" customHeight="1" x14ac:dyDescent="0.35">
      <c r="A562" s="52"/>
      <c r="B562" s="50" t="s">
        <v>805</v>
      </c>
      <c r="C562" s="54" t="s">
        <v>1681</v>
      </c>
      <c r="D562" s="32">
        <v>1</v>
      </c>
      <c r="E562" s="32"/>
      <c r="F562" s="32"/>
      <c r="G562" s="33"/>
      <c r="H562" s="32"/>
      <c r="I562" s="32"/>
      <c r="J562" s="32"/>
      <c r="K562" s="32"/>
      <c r="L562" s="32"/>
      <c r="M562" s="32"/>
      <c r="N562" s="32"/>
      <c r="O562" s="32"/>
      <c r="P562" s="32"/>
    </row>
    <row r="563" spans="1:16" ht="22.5" customHeight="1" x14ac:dyDescent="0.35">
      <c r="A563" s="52"/>
      <c r="B563" s="50" t="s">
        <v>806</v>
      </c>
      <c r="C563" s="54" t="s">
        <v>1682</v>
      </c>
      <c r="D563" s="32">
        <v>1</v>
      </c>
      <c r="E563" s="32"/>
      <c r="F563" s="32"/>
      <c r="G563" s="33"/>
      <c r="H563" s="32"/>
      <c r="I563" s="32"/>
      <c r="J563" s="32"/>
      <c r="K563" s="32"/>
      <c r="L563" s="32"/>
      <c r="M563" s="32"/>
      <c r="N563" s="32"/>
      <c r="O563" s="32"/>
      <c r="P563" s="32"/>
    </row>
    <row r="564" spans="1:16" ht="22.5" customHeight="1" x14ac:dyDescent="0.35">
      <c r="A564" s="52"/>
      <c r="B564" s="50" t="s">
        <v>807</v>
      </c>
      <c r="C564" s="54" t="s">
        <v>1683</v>
      </c>
      <c r="D564" s="32">
        <v>1</v>
      </c>
      <c r="E564" s="32"/>
      <c r="F564" s="32"/>
      <c r="G564" s="33"/>
      <c r="H564" s="32"/>
      <c r="I564" s="32"/>
      <c r="J564" s="32"/>
      <c r="K564" s="32"/>
      <c r="L564" s="32"/>
      <c r="M564" s="32"/>
      <c r="N564" s="32"/>
      <c r="O564" s="32"/>
      <c r="P564" s="32"/>
    </row>
    <row r="565" spans="1:16" ht="22.5" customHeight="1" x14ac:dyDescent="0.35">
      <c r="A565" s="52"/>
      <c r="B565" s="50" t="s">
        <v>808</v>
      </c>
      <c r="C565" s="54" t="s">
        <v>1684</v>
      </c>
      <c r="D565" s="32">
        <v>1</v>
      </c>
      <c r="E565" s="32"/>
      <c r="F565" s="32"/>
      <c r="G565" s="33"/>
      <c r="H565" s="32"/>
      <c r="I565" s="32"/>
      <c r="J565" s="32"/>
      <c r="K565" s="32"/>
      <c r="L565" s="32"/>
      <c r="M565" s="32"/>
      <c r="N565" s="32"/>
      <c r="O565" s="32"/>
      <c r="P565" s="32"/>
    </row>
    <row r="566" spans="1:16" ht="22.5" customHeight="1" x14ac:dyDescent="0.35">
      <c r="A566" s="52"/>
      <c r="B566" s="50" t="s">
        <v>809</v>
      </c>
      <c r="C566" s="54" t="s">
        <v>1685</v>
      </c>
      <c r="D566" s="32">
        <v>1</v>
      </c>
      <c r="E566" s="32"/>
      <c r="F566" s="32"/>
      <c r="G566" s="33"/>
      <c r="H566" s="32"/>
      <c r="I566" s="32"/>
      <c r="J566" s="32"/>
      <c r="K566" s="32"/>
      <c r="L566" s="32"/>
      <c r="M566" s="32"/>
      <c r="N566" s="32"/>
      <c r="O566" s="32"/>
      <c r="P566" s="32"/>
    </row>
    <row r="567" spans="1:16" ht="22.5" customHeight="1" x14ac:dyDescent="0.35">
      <c r="A567" s="52"/>
      <c r="B567" s="50" t="s">
        <v>810</v>
      </c>
      <c r="C567" s="54" t="s">
        <v>1686</v>
      </c>
      <c r="D567" s="32">
        <v>1</v>
      </c>
      <c r="E567" s="32"/>
      <c r="F567" s="32"/>
      <c r="G567" s="33"/>
      <c r="H567" s="32"/>
      <c r="I567" s="32"/>
      <c r="J567" s="32"/>
      <c r="K567" s="32"/>
      <c r="L567" s="32"/>
      <c r="M567" s="32"/>
      <c r="N567" s="32"/>
      <c r="O567" s="32"/>
      <c r="P567" s="32"/>
    </row>
    <row r="568" spans="1:16" ht="22.5" customHeight="1" x14ac:dyDescent="0.35">
      <c r="A568" s="52"/>
      <c r="B568" s="50" t="s">
        <v>811</v>
      </c>
      <c r="C568" s="54" t="s">
        <v>1687</v>
      </c>
      <c r="D568" s="32">
        <v>1</v>
      </c>
      <c r="E568" s="32"/>
      <c r="F568" s="32"/>
      <c r="G568" s="33"/>
      <c r="H568" s="32"/>
      <c r="I568" s="32"/>
      <c r="J568" s="32"/>
      <c r="K568" s="32"/>
      <c r="L568" s="32"/>
      <c r="M568" s="32"/>
      <c r="N568" s="32"/>
      <c r="O568" s="32"/>
      <c r="P568" s="32"/>
    </row>
    <row r="569" spans="1:16" ht="22.5" customHeight="1" x14ac:dyDescent="0.35">
      <c r="A569" s="52"/>
      <c r="B569" s="50" t="s">
        <v>812</v>
      </c>
      <c r="C569" s="54" t="s">
        <v>1688</v>
      </c>
      <c r="D569" s="32">
        <v>1</v>
      </c>
      <c r="E569" s="32"/>
      <c r="F569" s="32"/>
      <c r="G569" s="33"/>
      <c r="H569" s="32"/>
      <c r="I569" s="32"/>
      <c r="J569" s="32"/>
      <c r="K569" s="32"/>
      <c r="L569" s="32"/>
      <c r="M569" s="32"/>
      <c r="N569" s="32"/>
      <c r="O569" s="32"/>
      <c r="P569" s="32"/>
    </row>
    <row r="570" spans="1:16" ht="22.5" customHeight="1" x14ac:dyDescent="0.35">
      <c r="A570" s="52"/>
      <c r="B570" s="50" t="s">
        <v>813</v>
      </c>
      <c r="C570" s="54" t="s">
        <v>1689</v>
      </c>
      <c r="D570" s="32">
        <v>1</v>
      </c>
      <c r="E570" s="32"/>
      <c r="F570" s="32"/>
      <c r="G570" s="33"/>
      <c r="H570" s="32"/>
      <c r="I570" s="32"/>
      <c r="J570" s="32"/>
      <c r="K570" s="32"/>
      <c r="L570" s="32"/>
      <c r="M570" s="32"/>
      <c r="N570" s="32"/>
      <c r="O570" s="32"/>
      <c r="P570" s="32"/>
    </row>
    <row r="571" spans="1:16" ht="22.5" customHeight="1" x14ac:dyDescent="0.35">
      <c r="A571" s="52"/>
      <c r="B571" s="50" t="s">
        <v>814</v>
      </c>
      <c r="C571" s="54" t="s">
        <v>1690</v>
      </c>
      <c r="D571" s="32">
        <v>1</v>
      </c>
      <c r="E571" s="32"/>
      <c r="F571" s="32"/>
      <c r="G571" s="33"/>
      <c r="H571" s="32"/>
      <c r="I571" s="32"/>
      <c r="J571" s="32"/>
      <c r="K571" s="32"/>
      <c r="L571" s="32"/>
      <c r="M571" s="32"/>
      <c r="N571" s="32"/>
      <c r="O571" s="32"/>
      <c r="P571" s="32"/>
    </row>
    <row r="572" spans="1:16" ht="22.5" customHeight="1" x14ac:dyDescent="0.35">
      <c r="A572" s="52"/>
      <c r="B572" s="50" t="s">
        <v>815</v>
      </c>
      <c r="C572" s="54" t="s">
        <v>1691</v>
      </c>
      <c r="D572" s="32">
        <v>1</v>
      </c>
      <c r="E572" s="32"/>
      <c r="F572" s="32"/>
      <c r="G572" s="33"/>
      <c r="H572" s="32"/>
      <c r="I572" s="32"/>
      <c r="J572" s="32"/>
      <c r="K572" s="32"/>
      <c r="L572" s="32"/>
      <c r="M572" s="32"/>
      <c r="N572" s="32"/>
      <c r="O572" s="32"/>
      <c r="P572" s="32"/>
    </row>
    <row r="573" spans="1:16" ht="22.5" customHeight="1" x14ac:dyDescent="0.35">
      <c r="A573" s="52"/>
      <c r="B573" s="50" t="s">
        <v>816</v>
      </c>
      <c r="C573" s="54" t="s">
        <v>1692</v>
      </c>
      <c r="D573" s="32">
        <v>1</v>
      </c>
      <c r="E573" s="32"/>
      <c r="F573" s="32"/>
      <c r="G573" s="33"/>
      <c r="H573" s="32"/>
      <c r="I573" s="32"/>
      <c r="J573" s="32"/>
      <c r="K573" s="32"/>
      <c r="L573" s="32"/>
      <c r="M573" s="32"/>
      <c r="N573" s="32"/>
      <c r="O573" s="32"/>
      <c r="P573" s="32"/>
    </row>
    <row r="574" spans="1:16" ht="22.5" customHeight="1" x14ac:dyDescent="0.35">
      <c r="A574" s="52"/>
      <c r="B574" s="50" t="s">
        <v>817</v>
      </c>
      <c r="C574" s="54" t="s">
        <v>1693</v>
      </c>
      <c r="D574" s="32">
        <v>1</v>
      </c>
      <c r="E574" s="32"/>
      <c r="F574" s="32"/>
      <c r="G574" s="33"/>
      <c r="H574" s="32"/>
      <c r="I574" s="32"/>
      <c r="J574" s="32"/>
      <c r="K574" s="32"/>
      <c r="L574" s="32"/>
      <c r="M574" s="32"/>
      <c r="N574" s="32"/>
      <c r="O574" s="32"/>
      <c r="P574" s="32"/>
    </row>
    <row r="575" spans="1:16" ht="22.5" customHeight="1" x14ac:dyDescent="0.35">
      <c r="A575" s="52"/>
      <c r="B575" s="50" t="s">
        <v>818</v>
      </c>
      <c r="C575" s="54" t="s">
        <v>1694</v>
      </c>
      <c r="D575" s="32">
        <v>1</v>
      </c>
      <c r="E575" s="32"/>
      <c r="F575" s="32"/>
      <c r="G575" s="33"/>
      <c r="H575" s="32"/>
      <c r="I575" s="32"/>
      <c r="J575" s="32"/>
      <c r="K575" s="32"/>
      <c r="L575" s="32"/>
      <c r="M575" s="32"/>
      <c r="N575" s="32"/>
      <c r="O575" s="32"/>
      <c r="P575" s="32"/>
    </row>
    <row r="576" spans="1:16" ht="22.5" customHeight="1" x14ac:dyDescent="0.35">
      <c r="A576" s="52"/>
      <c r="B576" s="50" t="s">
        <v>819</v>
      </c>
      <c r="C576" s="54" t="s">
        <v>1695</v>
      </c>
      <c r="D576" s="32">
        <v>1</v>
      </c>
      <c r="E576" s="32"/>
      <c r="F576" s="32"/>
      <c r="G576" s="33"/>
      <c r="H576" s="32"/>
      <c r="I576" s="32"/>
      <c r="J576" s="32"/>
      <c r="K576" s="32"/>
      <c r="L576" s="32"/>
      <c r="M576" s="32"/>
      <c r="N576" s="32"/>
      <c r="O576" s="32"/>
      <c r="P576" s="32"/>
    </row>
    <row r="577" spans="1:16" ht="22.5" customHeight="1" x14ac:dyDescent="0.35">
      <c r="A577" s="52"/>
      <c r="B577" s="50" t="s">
        <v>820</v>
      </c>
      <c r="C577" s="54" t="s">
        <v>1696</v>
      </c>
      <c r="D577" s="32">
        <v>1</v>
      </c>
      <c r="E577" s="32"/>
      <c r="F577" s="32"/>
      <c r="G577" s="33"/>
      <c r="H577" s="32"/>
      <c r="I577" s="32"/>
      <c r="J577" s="32"/>
      <c r="K577" s="32"/>
      <c r="L577" s="32"/>
      <c r="M577" s="32"/>
      <c r="N577" s="32"/>
      <c r="O577" s="32"/>
      <c r="P577" s="32"/>
    </row>
    <row r="578" spans="1:16" ht="22.5" customHeight="1" x14ac:dyDescent="0.35">
      <c r="A578" s="52"/>
      <c r="B578" s="50" t="s">
        <v>821</v>
      </c>
      <c r="C578" s="54" t="s">
        <v>1697</v>
      </c>
      <c r="D578" s="32">
        <v>1</v>
      </c>
      <c r="E578" s="32"/>
      <c r="F578" s="32"/>
      <c r="G578" s="33"/>
      <c r="H578" s="32"/>
      <c r="I578" s="32"/>
      <c r="J578" s="32"/>
      <c r="K578" s="32"/>
      <c r="L578" s="32"/>
      <c r="M578" s="32"/>
      <c r="N578" s="32"/>
      <c r="O578" s="32"/>
      <c r="P578" s="32"/>
    </row>
    <row r="579" spans="1:16" ht="22.5" customHeight="1" x14ac:dyDescent="0.35">
      <c r="A579" s="52"/>
      <c r="B579" s="50" t="s">
        <v>822</v>
      </c>
      <c r="C579" s="54" t="s">
        <v>1698</v>
      </c>
      <c r="D579" s="32">
        <v>1</v>
      </c>
      <c r="E579" s="32"/>
      <c r="F579" s="32"/>
      <c r="G579" s="33"/>
      <c r="H579" s="32"/>
      <c r="I579" s="32"/>
      <c r="J579" s="32"/>
      <c r="K579" s="32"/>
      <c r="L579" s="32"/>
      <c r="M579" s="32"/>
      <c r="N579" s="32"/>
      <c r="O579" s="32"/>
      <c r="P579" s="32"/>
    </row>
    <row r="580" spans="1:16" ht="22.5" customHeight="1" x14ac:dyDescent="0.35">
      <c r="A580" s="52"/>
      <c r="B580" s="50" t="s">
        <v>823</v>
      </c>
      <c r="C580" s="54" t="s">
        <v>1699</v>
      </c>
      <c r="D580" s="32">
        <v>1</v>
      </c>
      <c r="E580" s="32">
        <v>1</v>
      </c>
      <c r="F580" s="32">
        <v>1</v>
      </c>
      <c r="G580" s="33">
        <v>1</v>
      </c>
      <c r="H580" s="32">
        <v>1</v>
      </c>
      <c r="I580" s="32"/>
      <c r="J580" s="32"/>
      <c r="K580" s="32">
        <v>1</v>
      </c>
      <c r="L580" s="36">
        <v>1</v>
      </c>
      <c r="M580" s="32">
        <v>1</v>
      </c>
      <c r="N580" s="32">
        <v>1</v>
      </c>
      <c r="O580" s="32">
        <v>100000</v>
      </c>
      <c r="P580" s="32">
        <v>1</v>
      </c>
    </row>
    <row r="581" spans="1:16" ht="22.5" customHeight="1" x14ac:dyDescent="0.35">
      <c r="A581" s="52"/>
      <c r="B581" s="50" t="s">
        <v>824</v>
      </c>
      <c r="C581" s="54" t="s">
        <v>1700</v>
      </c>
      <c r="D581" s="32">
        <v>1</v>
      </c>
      <c r="E581" s="32"/>
      <c r="F581" s="32"/>
      <c r="G581" s="33"/>
      <c r="H581" s="32"/>
      <c r="I581" s="32"/>
      <c r="J581" s="32"/>
      <c r="K581" s="32"/>
      <c r="L581" s="32"/>
      <c r="M581" s="32"/>
      <c r="N581" s="32"/>
      <c r="O581" s="32"/>
      <c r="P581" s="32"/>
    </row>
    <row r="582" spans="1:16" ht="22.5" customHeight="1" x14ac:dyDescent="0.35">
      <c r="A582" s="52"/>
      <c r="B582" s="48" t="s">
        <v>158</v>
      </c>
      <c r="D582" s="32">
        <v>1</v>
      </c>
      <c r="E582" s="32"/>
      <c r="F582" s="32"/>
      <c r="G582" s="33"/>
      <c r="H582" s="32"/>
      <c r="I582" s="32"/>
      <c r="J582" s="32"/>
      <c r="K582" s="32"/>
      <c r="L582" s="32"/>
      <c r="M582" s="32"/>
      <c r="N582" s="32"/>
      <c r="O582" s="32"/>
      <c r="P582" s="32"/>
    </row>
    <row r="583" spans="1:16" ht="22.5" customHeight="1" x14ac:dyDescent="0.35">
      <c r="A583" s="52"/>
      <c r="B583" s="50" t="s">
        <v>825</v>
      </c>
      <c r="C583" s="54" t="s">
        <v>1701</v>
      </c>
      <c r="D583" s="32">
        <v>1</v>
      </c>
      <c r="E583" s="32"/>
      <c r="F583" s="32"/>
      <c r="G583" s="33"/>
      <c r="H583" s="32"/>
      <c r="I583" s="32"/>
      <c r="J583" s="32"/>
      <c r="K583" s="32"/>
      <c r="L583" s="32"/>
      <c r="M583" s="32"/>
      <c r="N583" s="32"/>
      <c r="O583" s="32"/>
      <c r="P583" s="32"/>
    </row>
    <row r="584" spans="1:16" ht="22.5" customHeight="1" x14ac:dyDescent="0.35">
      <c r="A584" s="52"/>
      <c r="B584" s="50" t="s">
        <v>826</v>
      </c>
      <c r="C584" s="54" t="s">
        <v>1702</v>
      </c>
      <c r="D584" s="32">
        <v>1</v>
      </c>
      <c r="E584" s="32"/>
      <c r="F584" s="32"/>
      <c r="G584" s="33"/>
      <c r="H584" s="32"/>
      <c r="I584" s="32"/>
      <c r="J584" s="32"/>
      <c r="K584" s="32"/>
      <c r="L584" s="32"/>
      <c r="M584" s="32"/>
      <c r="N584" s="32"/>
      <c r="O584" s="32"/>
      <c r="P584" s="32"/>
    </row>
    <row r="585" spans="1:16" ht="22.5" customHeight="1" x14ac:dyDescent="0.35">
      <c r="A585" s="52"/>
      <c r="B585" s="50" t="s">
        <v>1703</v>
      </c>
      <c r="C585" s="54" t="s">
        <v>1704</v>
      </c>
      <c r="D585" s="32">
        <v>1</v>
      </c>
      <c r="E585" s="32"/>
      <c r="F585" s="32"/>
      <c r="G585" s="33"/>
      <c r="H585" s="32"/>
      <c r="I585" s="32"/>
      <c r="J585" s="32"/>
      <c r="K585" s="32"/>
      <c r="L585" s="32"/>
      <c r="M585" s="32"/>
      <c r="N585" s="32"/>
      <c r="O585" s="32"/>
      <c r="P585" s="32"/>
    </row>
    <row r="586" spans="1:16" ht="22.5" customHeight="1" x14ac:dyDescent="0.35">
      <c r="A586" s="52"/>
      <c r="B586" s="50" t="s">
        <v>1705</v>
      </c>
      <c r="C586" s="54" t="s">
        <v>1706</v>
      </c>
      <c r="D586" s="32">
        <v>1</v>
      </c>
      <c r="E586" s="32"/>
      <c r="F586" s="32"/>
      <c r="G586" s="33"/>
      <c r="H586" s="32"/>
      <c r="I586" s="32"/>
      <c r="J586" s="32"/>
      <c r="K586" s="32">
        <v>3</v>
      </c>
      <c r="L586" s="32">
        <v>10000</v>
      </c>
      <c r="M586" s="32"/>
      <c r="N586" s="32">
        <v>200</v>
      </c>
      <c r="O586" s="32"/>
      <c r="P586" s="32">
        <v>2500</v>
      </c>
    </row>
    <row r="587" spans="1:16" ht="22.5" customHeight="1" x14ac:dyDescent="0.35">
      <c r="A587" s="52"/>
      <c r="B587" s="50" t="s">
        <v>827</v>
      </c>
      <c r="C587" s="54" t="s">
        <v>1707</v>
      </c>
      <c r="D587" s="32">
        <v>1</v>
      </c>
      <c r="E587" s="32"/>
      <c r="F587" s="32"/>
      <c r="G587" s="33"/>
      <c r="H587" s="32"/>
      <c r="I587" s="32"/>
      <c r="J587" s="32"/>
      <c r="K587" s="32"/>
      <c r="L587" s="32"/>
      <c r="M587" s="32"/>
      <c r="N587" s="32"/>
      <c r="O587" s="32"/>
      <c r="P587" s="32"/>
    </row>
    <row r="588" spans="1:16" ht="22.5" customHeight="1" x14ac:dyDescent="0.35">
      <c r="A588" s="52"/>
      <c r="B588" s="50" t="s">
        <v>828</v>
      </c>
      <c r="C588" s="54" t="s">
        <v>1708</v>
      </c>
      <c r="D588" s="32">
        <v>1</v>
      </c>
      <c r="E588" s="32"/>
      <c r="F588" s="32"/>
      <c r="G588" s="33"/>
      <c r="H588" s="32"/>
      <c r="I588" s="32"/>
      <c r="J588" s="32"/>
      <c r="K588" s="32"/>
      <c r="L588" s="32"/>
      <c r="M588" s="32"/>
      <c r="N588" s="32"/>
      <c r="O588" s="32"/>
      <c r="P588" s="32"/>
    </row>
    <row r="589" spans="1:16" ht="22.5" customHeight="1" x14ac:dyDescent="0.35">
      <c r="A589" s="52"/>
      <c r="B589" s="50" t="s">
        <v>829</v>
      </c>
      <c r="C589" s="54" t="s">
        <v>1709</v>
      </c>
      <c r="D589" s="32">
        <v>12</v>
      </c>
      <c r="E589" s="32"/>
      <c r="F589" s="32"/>
      <c r="G589" s="33"/>
      <c r="H589" s="32"/>
      <c r="I589" s="32"/>
      <c r="J589" s="32"/>
      <c r="K589" s="32">
        <v>1</v>
      </c>
      <c r="L589" s="32">
        <v>5000</v>
      </c>
      <c r="M589" s="32"/>
      <c r="N589" s="32">
        <v>30</v>
      </c>
      <c r="O589" s="32"/>
      <c r="P589" s="32"/>
    </row>
    <row r="590" spans="1:16" ht="22.5" customHeight="1" x14ac:dyDescent="0.35">
      <c r="A590" s="52"/>
      <c r="B590" s="50" t="s">
        <v>830</v>
      </c>
      <c r="C590" s="54" t="s">
        <v>1710</v>
      </c>
      <c r="D590" s="32">
        <v>1</v>
      </c>
      <c r="E590" s="32"/>
      <c r="F590" s="32"/>
      <c r="G590" s="33"/>
      <c r="H590" s="32"/>
      <c r="I590" s="32"/>
      <c r="J590" s="32"/>
      <c r="K590" s="32"/>
      <c r="L590" s="32"/>
      <c r="M590" s="32"/>
      <c r="N590" s="32"/>
      <c r="O590" s="32"/>
      <c r="P590" s="32"/>
    </row>
    <row r="591" spans="1:16" ht="22.5" customHeight="1" x14ac:dyDescent="0.35">
      <c r="A591" s="52"/>
      <c r="B591" s="50" t="s">
        <v>1711</v>
      </c>
      <c r="C591" s="54" t="s">
        <v>1712</v>
      </c>
      <c r="D591" s="32">
        <v>12</v>
      </c>
      <c r="E591" s="32"/>
      <c r="F591" s="32"/>
      <c r="G591" s="33"/>
      <c r="H591" s="32"/>
      <c r="I591" s="32"/>
      <c r="J591" s="32"/>
      <c r="K591" s="32">
        <v>1</v>
      </c>
      <c r="L591" s="32">
        <v>2000</v>
      </c>
      <c r="M591" s="32"/>
      <c r="N591" s="32">
        <v>25</v>
      </c>
      <c r="O591" s="32"/>
      <c r="P591" s="32"/>
    </row>
    <row r="592" spans="1:16" ht="22.5" customHeight="1" x14ac:dyDescent="0.35">
      <c r="A592" s="52"/>
      <c r="B592" s="50" t="s">
        <v>831</v>
      </c>
      <c r="C592" s="54" t="s">
        <v>1713</v>
      </c>
      <c r="D592" s="32">
        <v>1</v>
      </c>
      <c r="E592" s="32">
        <v>96</v>
      </c>
      <c r="F592" s="32">
        <v>960</v>
      </c>
      <c r="G592" s="33"/>
      <c r="H592" s="32">
        <v>10000</v>
      </c>
      <c r="I592" s="32"/>
      <c r="J592" s="32"/>
      <c r="K592" s="32">
        <v>1</v>
      </c>
      <c r="L592" s="32">
        <v>2000</v>
      </c>
      <c r="M592" s="32"/>
      <c r="N592" s="32"/>
      <c r="O592" s="32"/>
      <c r="P592" s="32">
        <v>2500</v>
      </c>
    </row>
    <row r="593" spans="1:16" ht="22.5" customHeight="1" x14ac:dyDescent="0.35">
      <c r="A593" s="52"/>
      <c r="B593" s="50" t="s">
        <v>832</v>
      </c>
      <c r="C593" s="54" t="s">
        <v>1714</v>
      </c>
      <c r="D593" s="32">
        <v>1</v>
      </c>
      <c r="E593" s="32"/>
      <c r="F593" s="32"/>
      <c r="G593" s="33"/>
      <c r="H593" s="32"/>
      <c r="I593" s="32"/>
      <c r="J593" s="32"/>
      <c r="K593" s="32"/>
      <c r="L593" s="32"/>
      <c r="M593" s="32"/>
      <c r="N593" s="32"/>
      <c r="O593" s="32"/>
      <c r="P593" s="32"/>
    </row>
    <row r="594" spans="1:16" ht="22.5" customHeight="1" x14ac:dyDescent="0.35">
      <c r="A594" s="52"/>
      <c r="B594" s="50" t="s">
        <v>833</v>
      </c>
      <c r="C594" s="54" t="s">
        <v>1715</v>
      </c>
      <c r="D594" s="32">
        <v>1</v>
      </c>
      <c r="E594" s="32"/>
      <c r="F594" s="32"/>
      <c r="G594" s="33"/>
      <c r="H594" s="32"/>
      <c r="I594" s="32"/>
      <c r="J594" s="32"/>
      <c r="K594" s="32"/>
      <c r="L594" s="32"/>
      <c r="M594" s="32"/>
      <c r="N594" s="32"/>
      <c r="O594" s="32"/>
      <c r="P594" s="32"/>
    </row>
    <row r="595" spans="1:16" ht="22.5" customHeight="1" x14ac:dyDescent="0.35">
      <c r="A595" s="52"/>
      <c r="B595" s="50" t="s">
        <v>834</v>
      </c>
      <c r="C595" s="54" t="s">
        <v>1716</v>
      </c>
      <c r="D595" s="32">
        <v>1</v>
      </c>
      <c r="E595" s="32"/>
      <c r="F595" s="32"/>
      <c r="G595" s="33"/>
      <c r="H595" s="32"/>
      <c r="I595" s="32"/>
      <c r="J595" s="32"/>
      <c r="K595" s="32"/>
      <c r="L595" s="32"/>
      <c r="M595" s="32"/>
      <c r="N595" s="32"/>
      <c r="O595" s="32"/>
      <c r="P595" s="32"/>
    </row>
    <row r="596" spans="1:16" ht="22.5" customHeight="1" x14ac:dyDescent="0.35">
      <c r="A596" s="52"/>
      <c r="B596" s="50" t="s">
        <v>835</v>
      </c>
      <c r="C596" s="54" t="s">
        <v>1717</v>
      </c>
      <c r="D596" s="32">
        <v>1</v>
      </c>
      <c r="E596" s="32"/>
      <c r="F596" s="32"/>
      <c r="G596" s="33"/>
      <c r="H596" s="32"/>
      <c r="I596" s="32"/>
      <c r="J596" s="32"/>
      <c r="K596" s="32"/>
      <c r="L596" s="32"/>
      <c r="M596" s="32"/>
      <c r="N596" s="32"/>
      <c r="O596" s="32"/>
      <c r="P596" s="32"/>
    </row>
    <row r="597" spans="1:16" ht="22.5" customHeight="1" x14ac:dyDescent="0.35">
      <c r="A597" s="52"/>
      <c r="B597" s="50" t="s">
        <v>836</v>
      </c>
      <c r="C597" s="54" t="s">
        <v>1718</v>
      </c>
      <c r="D597" s="32">
        <v>1</v>
      </c>
      <c r="E597" s="32"/>
      <c r="F597" s="32"/>
      <c r="G597" s="33"/>
      <c r="H597" s="32"/>
      <c r="I597" s="32"/>
      <c r="J597" s="32"/>
      <c r="K597" s="32"/>
      <c r="L597" s="32"/>
      <c r="M597" s="32"/>
      <c r="N597" s="32"/>
      <c r="O597" s="32"/>
      <c r="P597" s="32"/>
    </row>
    <row r="598" spans="1:16" ht="22.5" customHeight="1" x14ac:dyDescent="0.35">
      <c r="A598" s="52"/>
      <c r="B598" s="50" t="s">
        <v>837</v>
      </c>
      <c r="C598" s="54" t="s">
        <v>1719</v>
      </c>
      <c r="D598" s="32">
        <v>1</v>
      </c>
      <c r="E598" s="32"/>
      <c r="F598" s="32"/>
      <c r="G598" s="33"/>
      <c r="H598" s="32"/>
      <c r="I598" s="32"/>
      <c r="J598" s="32"/>
      <c r="K598" s="32"/>
      <c r="L598" s="32"/>
      <c r="M598" s="32"/>
      <c r="N598" s="32"/>
      <c r="O598" s="32"/>
      <c r="P598" s="32"/>
    </row>
    <row r="599" spans="1:16" ht="22.5" customHeight="1" x14ac:dyDescent="0.35">
      <c r="A599" s="52"/>
      <c r="B599" s="50" t="s">
        <v>838</v>
      </c>
      <c r="C599" s="54" t="s">
        <v>1720</v>
      </c>
      <c r="D599" s="32">
        <v>1</v>
      </c>
      <c r="E599" s="32"/>
      <c r="F599" s="32"/>
      <c r="G599" s="33"/>
      <c r="H599" s="32"/>
      <c r="I599" s="32"/>
      <c r="J599" s="32"/>
      <c r="K599" s="32"/>
      <c r="L599" s="32"/>
      <c r="M599" s="32"/>
      <c r="N599" s="32"/>
      <c r="O599" s="32"/>
      <c r="P599" s="32"/>
    </row>
    <row r="600" spans="1:16" ht="22.5" customHeight="1" x14ac:dyDescent="0.35">
      <c r="A600" s="52"/>
      <c r="B600" s="48" t="s">
        <v>159</v>
      </c>
      <c r="D600" s="32">
        <v>1</v>
      </c>
      <c r="E600" s="32"/>
      <c r="F600" s="32"/>
      <c r="G600" s="33"/>
      <c r="H600" s="32"/>
      <c r="I600" s="32"/>
      <c r="J600" s="32"/>
      <c r="K600" s="32"/>
      <c r="L600" s="32"/>
      <c r="M600" s="32"/>
      <c r="N600" s="32"/>
      <c r="O600" s="32"/>
      <c r="P600" s="32"/>
    </row>
    <row r="601" spans="1:16" ht="22.5" customHeight="1" x14ac:dyDescent="0.35">
      <c r="A601" s="52"/>
      <c r="B601" s="37" t="s">
        <v>839</v>
      </c>
      <c r="C601" s="54" t="s">
        <v>1721</v>
      </c>
      <c r="D601" s="32">
        <v>4</v>
      </c>
      <c r="E601" s="32"/>
      <c r="F601" s="32"/>
      <c r="G601" s="33"/>
      <c r="H601" s="32"/>
      <c r="I601" s="32"/>
      <c r="J601" s="32"/>
      <c r="K601" s="32">
        <v>1</v>
      </c>
      <c r="L601" s="32">
        <v>2000</v>
      </c>
      <c r="M601" s="32"/>
      <c r="N601" s="32">
        <v>200</v>
      </c>
      <c r="O601" s="32"/>
      <c r="P601" s="32"/>
    </row>
    <row r="602" spans="1:16" ht="22.5" customHeight="1" x14ac:dyDescent="0.35">
      <c r="A602" s="52"/>
      <c r="B602" s="50" t="s">
        <v>840</v>
      </c>
      <c r="C602" s="54" t="s">
        <v>1722</v>
      </c>
      <c r="D602" s="32"/>
      <c r="E602" s="32"/>
      <c r="F602" s="32"/>
      <c r="G602" s="33"/>
      <c r="H602" s="32"/>
      <c r="I602" s="32"/>
      <c r="J602" s="32"/>
      <c r="K602" s="32"/>
      <c r="L602" s="32"/>
      <c r="M602" s="32"/>
      <c r="N602" s="32"/>
      <c r="O602" s="32"/>
      <c r="P602" s="32"/>
    </row>
    <row r="603" spans="1:16" ht="22.5" customHeight="1" x14ac:dyDescent="0.35">
      <c r="A603" s="45"/>
      <c r="B603" s="45" t="s">
        <v>77</v>
      </c>
      <c r="C603" s="46" t="s">
        <v>1723</v>
      </c>
      <c r="D603" s="32"/>
      <c r="E603" s="32"/>
      <c r="F603" s="32"/>
      <c r="G603" s="33"/>
      <c r="H603" s="32"/>
      <c r="I603" s="32"/>
      <c r="J603" s="32"/>
      <c r="K603" s="32"/>
      <c r="L603" s="32"/>
      <c r="M603" s="32"/>
      <c r="N603" s="32"/>
      <c r="O603" s="32"/>
      <c r="P603" s="32"/>
    </row>
    <row r="604" spans="1:16" ht="22.5" customHeight="1" x14ac:dyDescent="0.35">
      <c r="A604" s="52"/>
      <c r="B604" s="48" t="s">
        <v>155</v>
      </c>
      <c r="D604" s="32">
        <v>1</v>
      </c>
      <c r="E604" s="32"/>
      <c r="F604" s="32"/>
      <c r="G604" s="33"/>
      <c r="H604" s="32"/>
      <c r="I604" s="32"/>
      <c r="J604" s="32"/>
      <c r="K604" s="32"/>
      <c r="L604" s="32"/>
      <c r="M604" s="32"/>
      <c r="N604" s="32"/>
      <c r="O604" s="32"/>
      <c r="P604" s="32"/>
    </row>
    <row r="605" spans="1:16" ht="22.5" customHeight="1" x14ac:dyDescent="0.35">
      <c r="A605" s="52"/>
      <c r="B605" s="37" t="s">
        <v>841</v>
      </c>
      <c r="C605" s="54" t="s">
        <v>1724</v>
      </c>
      <c r="D605" s="32">
        <v>1</v>
      </c>
      <c r="E605" s="32"/>
      <c r="F605" s="32"/>
      <c r="G605" s="33"/>
      <c r="H605" s="32"/>
      <c r="I605" s="32"/>
      <c r="J605" s="32"/>
      <c r="K605" s="32"/>
      <c r="L605" s="32"/>
      <c r="M605" s="32"/>
      <c r="N605" s="32"/>
      <c r="O605" s="32"/>
      <c r="P605" s="32"/>
    </row>
    <row r="606" spans="1:16" ht="22.5" customHeight="1" x14ac:dyDescent="0.35">
      <c r="A606" s="52"/>
      <c r="B606" s="37" t="s">
        <v>842</v>
      </c>
      <c r="C606" s="54" t="s">
        <v>1725</v>
      </c>
      <c r="D606" s="32">
        <v>1</v>
      </c>
      <c r="E606" s="32"/>
      <c r="F606" s="32"/>
      <c r="G606" s="33"/>
      <c r="H606" s="32"/>
      <c r="I606" s="32"/>
      <c r="J606" s="32"/>
      <c r="K606" s="32"/>
      <c r="L606" s="32"/>
      <c r="M606" s="32"/>
      <c r="N606" s="32"/>
      <c r="O606" s="32"/>
      <c r="P606" s="32"/>
    </row>
    <row r="607" spans="1:16" ht="22.5" customHeight="1" x14ac:dyDescent="0.35">
      <c r="A607" s="52"/>
      <c r="B607" s="37" t="s">
        <v>843</v>
      </c>
      <c r="C607" s="54" t="s">
        <v>1726</v>
      </c>
      <c r="D607" s="32">
        <v>1</v>
      </c>
      <c r="E607" s="32"/>
      <c r="F607" s="32"/>
      <c r="G607" s="33"/>
      <c r="H607" s="32"/>
      <c r="I607" s="32"/>
      <c r="J607" s="32"/>
      <c r="K607" s="32"/>
      <c r="L607" s="32"/>
      <c r="M607" s="32"/>
      <c r="N607" s="32"/>
      <c r="O607" s="32"/>
      <c r="P607" s="32"/>
    </row>
    <row r="608" spans="1:16" ht="22.5" customHeight="1" x14ac:dyDescent="0.35">
      <c r="A608" s="52"/>
      <c r="B608" s="37" t="s">
        <v>844</v>
      </c>
      <c r="C608" s="54" t="s">
        <v>1727</v>
      </c>
      <c r="D608" s="32">
        <v>1</v>
      </c>
      <c r="E608" s="32"/>
      <c r="F608" s="32"/>
      <c r="G608" s="33"/>
      <c r="H608" s="32"/>
      <c r="I608" s="32"/>
      <c r="J608" s="32"/>
      <c r="K608" s="32"/>
      <c r="L608" s="32"/>
      <c r="M608" s="32"/>
      <c r="N608" s="32"/>
      <c r="O608" s="32"/>
      <c r="P608" s="32"/>
    </row>
    <row r="609" spans="1:16" ht="22.5" customHeight="1" x14ac:dyDescent="0.35">
      <c r="A609" s="52"/>
      <c r="B609" s="37" t="s">
        <v>845</v>
      </c>
      <c r="C609" s="54" t="s">
        <v>1728</v>
      </c>
      <c r="D609" s="32">
        <v>1</v>
      </c>
      <c r="E609" s="32"/>
      <c r="F609" s="32"/>
      <c r="G609" s="33"/>
      <c r="H609" s="32"/>
      <c r="I609" s="32"/>
      <c r="J609" s="32"/>
      <c r="K609" s="32"/>
      <c r="L609" s="32"/>
      <c r="M609" s="32"/>
      <c r="N609" s="32"/>
      <c r="O609" s="32"/>
      <c r="P609" s="32"/>
    </row>
    <row r="610" spans="1:16" ht="22.5" customHeight="1" x14ac:dyDescent="0.35">
      <c r="A610" s="52"/>
      <c r="B610" s="37" t="s">
        <v>846</v>
      </c>
      <c r="C610" s="54" t="s">
        <v>1729</v>
      </c>
      <c r="D610" s="32">
        <v>12</v>
      </c>
      <c r="E610" s="32"/>
      <c r="F610" s="32"/>
      <c r="G610" s="33"/>
      <c r="H610" s="32"/>
      <c r="I610" s="32"/>
      <c r="J610" s="32"/>
      <c r="K610" s="32">
        <v>1</v>
      </c>
      <c r="L610" s="32">
        <v>2000</v>
      </c>
      <c r="M610" s="32"/>
      <c r="N610" s="32">
        <v>10</v>
      </c>
      <c r="O610" s="32"/>
      <c r="P610" s="32"/>
    </row>
    <row r="611" spans="1:16" ht="22.5" customHeight="1" x14ac:dyDescent="0.35">
      <c r="A611" s="52"/>
      <c r="B611" s="50" t="s">
        <v>847</v>
      </c>
      <c r="C611" s="54" t="s">
        <v>1730</v>
      </c>
      <c r="D611" s="32">
        <v>1</v>
      </c>
      <c r="E611" s="32"/>
      <c r="F611" s="32"/>
      <c r="G611" s="33"/>
      <c r="H611" s="32"/>
      <c r="I611" s="32"/>
      <c r="J611" s="32"/>
      <c r="K611" s="32"/>
      <c r="L611" s="32"/>
      <c r="M611" s="32"/>
      <c r="N611" s="32"/>
      <c r="O611" s="32"/>
      <c r="P611" s="32"/>
    </row>
    <row r="612" spans="1:16" ht="22.5" customHeight="1" x14ac:dyDescent="0.35">
      <c r="A612" s="52"/>
      <c r="B612" s="50" t="s">
        <v>813</v>
      </c>
      <c r="C612" s="54" t="s">
        <v>1731</v>
      </c>
      <c r="D612" s="32">
        <v>1</v>
      </c>
      <c r="E612" s="32"/>
      <c r="F612" s="32"/>
      <c r="G612" s="33"/>
      <c r="H612" s="32"/>
      <c r="I612" s="32"/>
      <c r="J612" s="32"/>
      <c r="K612" s="32"/>
      <c r="L612" s="32"/>
      <c r="M612" s="32"/>
      <c r="N612" s="32"/>
      <c r="O612" s="32"/>
      <c r="P612" s="32"/>
    </row>
    <row r="613" spans="1:16" ht="22.5" customHeight="1" x14ac:dyDescent="0.35">
      <c r="A613" s="52"/>
      <c r="B613" s="37" t="s">
        <v>848</v>
      </c>
      <c r="C613" s="54" t="s">
        <v>1732</v>
      </c>
      <c r="D613" s="32"/>
      <c r="E613" s="32"/>
      <c r="F613" s="32"/>
      <c r="G613" s="33"/>
      <c r="H613" s="32"/>
      <c r="I613" s="32"/>
      <c r="J613" s="32"/>
      <c r="K613" s="32"/>
      <c r="L613" s="32"/>
      <c r="M613" s="32"/>
      <c r="N613" s="32"/>
      <c r="O613" s="32"/>
      <c r="P613" s="32"/>
    </row>
    <row r="614" spans="1:16" ht="22.5" customHeight="1" x14ac:dyDescent="0.35">
      <c r="A614" s="52"/>
      <c r="B614" s="48" t="s">
        <v>156</v>
      </c>
      <c r="D614" s="32">
        <v>1</v>
      </c>
      <c r="E614" s="32"/>
      <c r="F614" s="32"/>
      <c r="G614" s="33"/>
      <c r="H614" s="32"/>
      <c r="I614" s="32"/>
      <c r="J614" s="32"/>
      <c r="K614" s="32"/>
      <c r="L614" s="32"/>
      <c r="M614" s="32"/>
      <c r="N614" s="32"/>
      <c r="O614" s="32"/>
      <c r="P614" s="32"/>
    </row>
    <row r="615" spans="1:16" ht="22.5" customHeight="1" x14ac:dyDescent="0.35">
      <c r="A615" s="52"/>
      <c r="B615" s="50" t="s">
        <v>849</v>
      </c>
      <c r="C615" s="54" t="s">
        <v>1733</v>
      </c>
      <c r="D615" s="32">
        <v>1</v>
      </c>
      <c r="E615" s="32"/>
      <c r="F615" s="32"/>
      <c r="G615" s="33"/>
      <c r="H615" s="32"/>
      <c r="I615" s="32"/>
      <c r="J615" s="32"/>
      <c r="K615" s="32"/>
      <c r="L615" s="32"/>
      <c r="M615" s="32"/>
      <c r="N615" s="32"/>
      <c r="O615" s="32"/>
      <c r="P615" s="32"/>
    </row>
    <row r="616" spans="1:16" ht="22.5" customHeight="1" x14ac:dyDescent="0.35">
      <c r="A616" s="52"/>
      <c r="B616" s="37" t="s">
        <v>850</v>
      </c>
      <c r="C616" s="54" t="s">
        <v>1734</v>
      </c>
      <c r="D616" s="32">
        <v>1</v>
      </c>
      <c r="E616" s="32"/>
      <c r="F616" s="32"/>
      <c r="G616" s="33"/>
      <c r="H616" s="32"/>
      <c r="I616" s="32"/>
      <c r="J616" s="32"/>
      <c r="K616" s="32"/>
      <c r="L616" s="32"/>
      <c r="M616" s="32"/>
      <c r="N616" s="32"/>
      <c r="O616" s="32"/>
      <c r="P616" s="32"/>
    </row>
    <row r="617" spans="1:16" ht="22.5" customHeight="1" x14ac:dyDescent="0.35">
      <c r="A617" s="52"/>
      <c r="B617" s="37" t="s">
        <v>845</v>
      </c>
      <c r="C617" s="54" t="s">
        <v>1735</v>
      </c>
      <c r="D617" s="32">
        <v>1</v>
      </c>
      <c r="E617" s="32"/>
      <c r="F617" s="32"/>
      <c r="G617" s="33"/>
      <c r="H617" s="32"/>
      <c r="I617" s="32"/>
      <c r="J617" s="32"/>
      <c r="K617" s="32"/>
      <c r="L617" s="32"/>
      <c r="M617" s="32"/>
      <c r="N617" s="32"/>
      <c r="O617" s="32"/>
      <c r="P617" s="32"/>
    </row>
    <row r="618" spans="1:16" ht="22.5" customHeight="1" x14ac:dyDescent="0.35">
      <c r="A618" s="52"/>
      <c r="B618" s="37" t="s">
        <v>851</v>
      </c>
      <c r="C618" s="54" t="s">
        <v>1736</v>
      </c>
      <c r="D618" s="32">
        <v>1</v>
      </c>
      <c r="E618" s="32"/>
      <c r="F618" s="32"/>
      <c r="G618" s="33"/>
      <c r="H618" s="32"/>
      <c r="I618" s="32"/>
      <c r="J618" s="32"/>
      <c r="K618" s="32"/>
      <c r="L618" s="32"/>
      <c r="M618" s="32"/>
      <c r="N618" s="32"/>
      <c r="O618" s="32"/>
      <c r="P618" s="32"/>
    </row>
    <row r="619" spans="1:16" ht="22.5" customHeight="1" x14ac:dyDescent="0.35">
      <c r="A619" s="45"/>
      <c r="B619" s="45" t="s">
        <v>79</v>
      </c>
      <c r="C619" s="46"/>
      <c r="D619" s="32"/>
      <c r="E619" s="32"/>
      <c r="F619" s="32"/>
      <c r="G619" s="33"/>
      <c r="H619" s="32"/>
      <c r="I619" s="32"/>
      <c r="J619" s="32"/>
      <c r="K619" s="32"/>
      <c r="L619" s="32"/>
      <c r="M619" s="32"/>
      <c r="N619" s="32"/>
      <c r="O619" s="32"/>
      <c r="P619" s="32"/>
    </row>
    <row r="620" spans="1:16" ht="22.5" customHeight="1" x14ac:dyDescent="0.35">
      <c r="A620" s="52"/>
      <c r="B620" s="48" t="s">
        <v>160</v>
      </c>
      <c r="C620" s="63"/>
      <c r="D620" s="32">
        <v>1</v>
      </c>
      <c r="E620" s="32"/>
      <c r="F620" s="32"/>
      <c r="G620" s="33"/>
      <c r="H620" s="32"/>
      <c r="I620" s="32"/>
      <c r="J620" s="32"/>
      <c r="K620" s="32">
        <v>1</v>
      </c>
      <c r="L620" s="32">
        <v>5000</v>
      </c>
      <c r="M620" s="32"/>
      <c r="N620" s="32">
        <v>50</v>
      </c>
      <c r="O620" s="32"/>
      <c r="P620" s="32"/>
    </row>
    <row r="621" spans="1:16" ht="27" customHeight="1" x14ac:dyDescent="0.35">
      <c r="A621" s="52"/>
      <c r="B621" s="37" t="s">
        <v>852</v>
      </c>
      <c r="C621" s="54" t="s">
        <v>1737</v>
      </c>
      <c r="D621" s="32">
        <v>1</v>
      </c>
      <c r="E621" s="32"/>
      <c r="F621" s="32"/>
      <c r="G621" s="33"/>
      <c r="H621" s="32"/>
      <c r="I621" s="32"/>
      <c r="J621" s="32"/>
      <c r="K621" s="32"/>
      <c r="L621" s="32"/>
      <c r="M621" s="32"/>
      <c r="N621" s="32"/>
      <c r="O621" s="32"/>
      <c r="P621" s="32"/>
    </row>
    <row r="622" spans="1:16" ht="22.5" customHeight="1" x14ac:dyDescent="0.35">
      <c r="A622" s="52"/>
      <c r="B622" s="37" t="s">
        <v>853</v>
      </c>
      <c r="C622" s="54" t="s">
        <v>1738</v>
      </c>
      <c r="D622" s="32">
        <v>1</v>
      </c>
      <c r="E622" s="32"/>
      <c r="F622" s="32"/>
      <c r="G622" s="33"/>
      <c r="H622" s="32"/>
      <c r="I622" s="32"/>
      <c r="J622" s="32"/>
      <c r="K622" s="32"/>
      <c r="L622" s="32"/>
      <c r="M622" s="32"/>
      <c r="N622" s="32"/>
      <c r="O622" s="32"/>
      <c r="P622" s="32"/>
    </row>
    <row r="623" spans="1:16" ht="27" customHeight="1" x14ac:dyDescent="0.35">
      <c r="A623" s="52"/>
      <c r="B623" s="37" t="s">
        <v>854</v>
      </c>
      <c r="C623" s="54" t="s">
        <v>1739</v>
      </c>
      <c r="D623" s="32"/>
      <c r="E623" s="32"/>
      <c r="F623" s="32"/>
      <c r="G623" s="33"/>
      <c r="H623" s="32"/>
      <c r="I623" s="32"/>
      <c r="J623" s="32"/>
      <c r="K623" s="32"/>
      <c r="L623" s="32"/>
      <c r="M623" s="32"/>
      <c r="N623" s="32"/>
      <c r="O623" s="32"/>
      <c r="P623" s="32"/>
    </row>
    <row r="624" spans="1:16" ht="22.5" customHeight="1" x14ac:dyDescent="0.35">
      <c r="A624" s="52"/>
      <c r="B624" s="48" t="s">
        <v>161</v>
      </c>
      <c r="C624" s="63"/>
      <c r="D624" s="32">
        <v>1</v>
      </c>
      <c r="E624" s="32"/>
      <c r="F624" s="32"/>
      <c r="G624" s="33"/>
      <c r="H624" s="32"/>
      <c r="I624" s="32"/>
      <c r="J624" s="32"/>
      <c r="K624" s="32"/>
      <c r="L624" s="32"/>
      <c r="M624" s="32"/>
      <c r="N624" s="32"/>
      <c r="O624" s="32"/>
      <c r="P624" s="32"/>
    </row>
    <row r="625" spans="1:16" ht="34.5" customHeight="1" x14ac:dyDescent="0.35">
      <c r="A625" s="52"/>
      <c r="B625" s="37" t="s">
        <v>855</v>
      </c>
      <c r="C625" s="54" t="s">
        <v>1740</v>
      </c>
      <c r="D625" s="32">
        <v>1</v>
      </c>
      <c r="E625" s="32"/>
      <c r="F625" s="32"/>
      <c r="G625" s="33"/>
      <c r="H625" s="32"/>
      <c r="I625" s="32"/>
      <c r="J625" s="32"/>
      <c r="K625" s="32"/>
      <c r="L625" s="32"/>
      <c r="M625" s="32"/>
      <c r="N625" s="32"/>
      <c r="O625" s="32"/>
      <c r="P625" s="32"/>
    </row>
    <row r="626" spans="1:16" ht="20.25" customHeight="1" x14ac:dyDescent="0.35">
      <c r="A626" s="52"/>
      <c r="B626" s="37" t="s">
        <v>856</v>
      </c>
      <c r="C626" s="54" t="s">
        <v>1741</v>
      </c>
      <c r="D626" s="32">
        <v>1</v>
      </c>
      <c r="E626" s="32"/>
      <c r="F626" s="32"/>
      <c r="G626" s="33"/>
      <c r="H626" s="32"/>
      <c r="I626" s="32"/>
      <c r="J626" s="32"/>
      <c r="K626" s="32"/>
      <c r="L626" s="32"/>
      <c r="M626" s="32"/>
      <c r="N626" s="32"/>
      <c r="O626" s="32"/>
      <c r="P626" s="32"/>
    </row>
    <row r="627" spans="1:16" ht="30.75" customHeight="1" x14ac:dyDescent="0.35">
      <c r="A627" s="52"/>
      <c r="B627" s="37" t="s">
        <v>857</v>
      </c>
      <c r="C627" s="54" t="s">
        <v>1742</v>
      </c>
      <c r="D627" s="32"/>
      <c r="E627" s="32"/>
      <c r="F627" s="32"/>
      <c r="G627" s="33"/>
      <c r="H627" s="32"/>
      <c r="I627" s="32"/>
      <c r="J627" s="32"/>
      <c r="K627" s="32"/>
      <c r="L627" s="32"/>
      <c r="M627" s="32"/>
      <c r="N627" s="32"/>
      <c r="O627" s="32"/>
      <c r="P627" s="32"/>
    </row>
    <row r="628" spans="1:16" ht="22.5" customHeight="1" x14ac:dyDescent="0.35">
      <c r="A628" s="52"/>
      <c r="B628" s="61" t="s">
        <v>162</v>
      </c>
      <c r="D628" s="32">
        <v>4</v>
      </c>
      <c r="E628" s="32"/>
      <c r="F628" s="32"/>
      <c r="G628" s="33"/>
      <c r="H628" s="32"/>
      <c r="I628" s="32"/>
      <c r="J628" s="32"/>
      <c r="K628" s="32">
        <v>1</v>
      </c>
      <c r="L628" s="32">
        <v>5000</v>
      </c>
      <c r="M628" s="32"/>
      <c r="N628" s="32">
        <v>30</v>
      </c>
      <c r="O628" s="32"/>
      <c r="P628" s="32"/>
    </row>
    <row r="629" spans="1:16" ht="22.5" customHeight="1" x14ac:dyDescent="0.35">
      <c r="A629" s="52"/>
      <c r="B629" s="37" t="s">
        <v>1743</v>
      </c>
      <c r="C629" s="54" t="s">
        <v>1744</v>
      </c>
      <c r="D629" s="32"/>
      <c r="E629" s="32"/>
      <c r="F629" s="32"/>
      <c r="G629" s="33"/>
      <c r="H629" s="32"/>
      <c r="I629" s="32"/>
      <c r="J629" s="32"/>
      <c r="K629" s="32"/>
      <c r="L629" s="32"/>
      <c r="M629" s="32"/>
      <c r="N629" s="32"/>
      <c r="O629" s="32"/>
      <c r="P629" s="32"/>
    </row>
    <row r="630" spans="1:16" ht="22.5" customHeight="1" x14ac:dyDescent="0.35">
      <c r="A630" s="43"/>
      <c r="B630" s="43" t="s">
        <v>80</v>
      </c>
      <c r="C630" s="42"/>
      <c r="D630" s="32"/>
      <c r="E630" s="32"/>
      <c r="F630" s="32"/>
      <c r="G630" s="33"/>
      <c r="H630" s="32"/>
      <c r="I630" s="32"/>
      <c r="J630" s="32"/>
      <c r="K630" s="32"/>
      <c r="L630" s="32"/>
      <c r="M630" s="32"/>
      <c r="N630" s="32"/>
      <c r="O630" s="32"/>
      <c r="P630" s="32"/>
    </row>
    <row r="631" spans="1:16" ht="22.5" customHeight="1" x14ac:dyDescent="0.35">
      <c r="A631" s="45"/>
      <c r="B631" s="45" t="s">
        <v>82</v>
      </c>
      <c r="C631" s="46"/>
      <c r="D631" s="32"/>
      <c r="E631" s="32"/>
      <c r="F631" s="32"/>
      <c r="G631" s="33"/>
      <c r="H631" s="32"/>
      <c r="I631" s="32"/>
      <c r="J631" s="32"/>
      <c r="K631" s="32"/>
      <c r="L631" s="32"/>
      <c r="M631" s="32"/>
      <c r="N631" s="32"/>
      <c r="O631" s="32"/>
      <c r="P631" s="32"/>
    </row>
    <row r="632" spans="1:16" ht="22.5" customHeight="1" x14ac:dyDescent="0.35">
      <c r="A632" s="52"/>
      <c r="B632" s="48" t="s">
        <v>163</v>
      </c>
      <c r="D632" s="32">
        <v>1</v>
      </c>
      <c r="E632" s="32">
        <v>4</v>
      </c>
      <c r="F632" s="32">
        <v>20</v>
      </c>
      <c r="G632" s="33">
        <v>10000</v>
      </c>
      <c r="H632" s="32">
        <v>40000</v>
      </c>
      <c r="I632" s="32">
        <v>20</v>
      </c>
      <c r="J632" s="32"/>
      <c r="K632" s="32">
        <v>3</v>
      </c>
      <c r="L632" s="32"/>
      <c r="M632" s="32">
        <v>150000</v>
      </c>
      <c r="N632" s="32"/>
      <c r="O632" s="32"/>
      <c r="P632" s="32">
        <v>15000</v>
      </c>
    </row>
    <row r="633" spans="1:16" ht="22.5" customHeight="1" x14ac:dyDescent="0.35">
      <c r="A633" s="52"/>
      <c r="B633" s="50" t="s">
        <v>858</v>
      </c>
      <c r="C633" s="54" t="s">
        <v>859</v>
      </c>
      <c r="D633" s="32">
        <v>1</v>
      </c>
      <c r="E633" s="32">
        <v>96</v>
      </c>
      <c r="F633" s="32">
        <v>960</v>
      </c>
      <c r="G633" s="33"/>
      <c r="H633" s="32">
        <v>10000</v>
      </c>
      <c r="I633" s="32"/>
      <c r="J633" s="32"/>
      <c r="K633" s="32">
        <v>1</v>
      </c>
      <c r="L633" s="32">
        <v>2000</v>
      </c>
      <c r="M633" s="32"/>
      <c r="N633" s="32"/>
      <c r="O633" s="32"/>
      <c r="P633" s="32">
        <v>2500</v>
      </c>
    </row>
    <row r="634" spans="1:16" ht="22.5" customHeight="1" x14ac:dyDescent="0.35">
      <c r="A634" s="52"/>
      <c r="B634" s="50" t="s">
        <v>860</v>
      </c>
      <c r="C634" s="54" t="s">
        <v>861</v>
      </c>
      <c r="D634" s="32">
        <v>1</v>
      </c>
      <c r="E634" s="32"/>
      <c r="F634" s="32"/>
      <c r="G634" s="33"/>
      <c r="H634" s="32"/>
      <c r="I634" s="32"/>
      <c r="J634" s="32"/>
      <c r="K634" s="32"/>
      <c r="L634" s="32"/>
      <c r="M634" s="32"/>
      <c r="N634" s="32"/>
      <c r="O634" s="32"/>
      <c r="P634" s="32"/>
    </row>
    <row r="635" spans="1:16" ht="22.5" customHeight="1" x14ac:dyDescent="0.35">
      <c r="A635" s="52"/>
      <c r="B635" s="50" t="s">
        <v>862</v>
      </c>
      <c r="C635" s="54" t="s">
        <v>863</v>
      </c>
      <c r="D635" s="32">
        <v>1</v>
      </c>
      <c r="E635" s="32"/>
      <c r="F635" s="32"/>
      <c r="G635" s="33"/>
      <c r="H635" s="32"/>
      <c r="I635" s="32"/>
      <c r="J635" s="32"/>
      <c r="K635" s="32"/>
      <c r="L635" s="32"/>
      <c r="M635" s="32"/>
      <c r="N635" s="32"/>
      <c r="O635" s="32"/>
      <c r="P635" s="32"/>
    </row>
    <row r="636" spans="1:16" ht="22.5" customHeight="1" x14ac:dyDescent="0.35">
      <c r="A636" s="52"/>
      <c r="B636" s="50" t="s">
        <v>864</v>
      </c>
      <c r="C636" s="54" t="s">
        <v>865</v>
      </c>
      <c r="D636" s="32">
        <v>1</v>
      </c>
      <c r="E636" s="32"/>
      <c r="F636" s="32"/>
      <c r="G636" s="33"/>
      <c r="H636" s="32"/>
      <c r="I636" s="32"/>
      <c r="J636" s="32"/>
      <c r="K636" s="32"/>
      <c r="L636" s="32"/>
      <c r="M636" s="32"/>
      <c r="N636" s="32"/>
      <c r="O636" s="32"/>
      <c r="P636" s="32"/>
    </row>
    <row r="637" spans="1:16" ht="22.5" customHeight="1" x14ac:dyDescent="0.35">
      <c r="A637" s="52"/>
      <c r="B637" s="50" t="s">
        <v>866</v>
      </c>
      <c r="C637" s="54" t="s">
        <v>867</v>
      </c>
      <c r="D637" s="32">
        <v>1</v>
      </c>
      <c r="E637" s="32"/>
      <c r="F637" s="32"/>
      <c r="G637" s="33"/>
      <c r="H637" s="32"/>
      <c r="I637" s="32"/>
      <c r="J637" s="32"/>
      <c r="K637" s="32"/>
      <c r="L637" s="32"/>
      <c r="M637" s="32"/>
      <c r="N637" s="32"/>
      <c r="O637" s="32"/>
      <c r="P637" s="32"/>
    </row>
    <row r="638" spans="1:16" ht="22.5" customHeight="1" x14ac:dyDescent="0.35">
      <c r="A638" s="52"/>
      <c r="B638" s="50" t="s">
        <v>868</v>
      </c>
      <c r="C638" s="54" t="s">
        <v>869</v>
      </c>
      <c r="D638" s="32">
        <v>1</v>
      </c>
      <c r="E638" s="32"/>
      <c r="F638" s="32"/>
      <c r="G638" s="33"/>
      <c r="H638" s="32"/>
      <c r="I638" s="32"/>
      <c r="J638" s="32"/>
      <c r="K638" s="32"/>
      <c r="L638" s="32"/>
      <c r="M638" s="32"/>
      <c r="N638" s="32"/>
      <c r="O638" s="32"/>
      <c r="P638" s="32"/>
    </row>
    <row r="639" spans="1:16" ht="22.5" customHeight="1" x14ac:dyDescent="0.35">
      <c r="A639" s="52"/>
      <c r="B639" s="50" t="s">
        <v>870</v>
      </c>
      <c r="C639" s="54" t="s">
        <v>871</v>
      </c>
      <c r="D639" s="32">
        <v>1</v>
      </c>
      <c r="E639" s="32"/>
      <c r="F639" s="32"/>
      <c r="G639" s="33"/>
      <c r="H639" s="32"/>
      <c r="I639" s="32"/>
      <c r="J639" s="32"/>
      <c r="K639" s="32"/>
      <c r="L639" s="32"/>
      <c r="M639" s="32"/>
      <c r="N639" s="32"/>
      <c r="O639" s="32"/>
      <c r="P639" s="32"/>
    </row>
    <row r="640" spans="1:16" ht="22.5" customHeight="1" x14ac:dyDescent="0.35">
      <c r="A640" s="52"/>
      <c r="B640" s="50" t="s">
        <v>872</v>
      </c>
      <c r="C640" s="54" t="s">
        <v>873</v>
      </c>
      <c r="D640" s="32">
        <v>1</v>
      </c>
      <c r="E640" s="32"/>
      <c r="F640" s="32"/>
      <c r="G640" s="33"/>
      <c r="H640" s="32"/>
      <c r="I640" s="32"/>
      <c r="J640" s="32"/>
      <c r="K640" s="32"/>
      <c r="L640" s="32"/>
      <c r="M640" s="32"/>
      <c r="N640" s="32"/>
      <c r="O640" s="32"/>
      <c r="P640" s="32"/>
    </row>
    <row r="641" spans="1:16" ht="22.5" customHeight="1" x14ac:dyDescent="0.35">
      <c r="A641" s="52"/>
      <c r="B641" s="50" t="s">
        <v>874</v>
      </c>
      <c r="C641" s="54" t="s">
        <v>875</v>
      </c>
      <c r="D641" s="32">
        <v>1</v>
      </c>
      <c r="E641" s="32"/>
      <c r="F641" s="32"/>
      <c r="G641" s="33"/>
      <c r="H641" s="32"/>
      <c r="I641" s="32"/>
      <c r="J641" s="32"/>
      <c r="K641" s="32"/>
      <c r="L641" s="32"/>
      <c r="M641" s="32"/>
      <c r="N641" s="32"/>
      <c r="O641" s="32"/>
      <c r="P641" s="32"/>
    </row>
    <row r="642" spans="1:16" ht="22.5" customHeight="1" x14ac:dyDescent="0.35">
      <c r="A642" s="52"/>
      <c r="B642" s="50" t="s">
        <v>876</v>
      </c>
      <c r="C642" s="54" t="s">
        <v>877</v>
      </c>
      <c r="D642" s="32">
        <v>1</v>
      </c>
      <c r="E642" s="32"/>
      <c r="F642" s="32"/>
      <c r="G642" s="33"/>
      <c r="H642" s="32"/>
      <c r="I642" s="32"/>
      <c r="J642" s="32"/>
      <c r="K642" s="32"/>
      <c r="L642" s="32"/>
      <c r="M642" s="32"/>
      <c r="N642" s="32"/>
      <c r="O642" s="32"/>
      <c r="P642" s="32"/>
    </row>
    <row r="643" spans="1:16" ht="22.5" customHeight="1" x14ac:dyDescent="0.35">
      <c r="A643" s="52"/>
      <c r="B643" s="50" t="s">
        <v>878</v>
      </c>
      <c r="C643" s="54" t="s">
        <v>879</v>
      </c>
      <c r="D643" s="32">
        <v>1</v>
      </c>
      <c r="E643" s="32"/>
      <c r="F643" s="32"/>
      <c r="G643" s="33"/>
      <c r="H643" s="32"/>
      <c r="I643" s="32"/>
      <c r="J643" s="32"/>
      <c r="K643" s="32"/>
      <c r="L643" s="32"/>
      <c r="M643" s="32"/>
      <c r="N643" s="32"/>
      <c r="O643" s="32"/>
      <c r="P643" s="32"/>
    </row>
    <row r="644" spans="1:16" ht="22.5" customHeight="1" x14ac:dyDescent="0.35">
      <c r="A644" s="52"/>
      <c r="B644" s="48" t="s">
        <v>164</v>
      </c>
      <c r="D644" s="32">
        <v>4</v>
      </c>
      <c r="E644" s="32">
        <v>1</v>
      </c>
      <c r="F644" s="32">
        <v>8</v>
      </c>
      <c r="G644" s="33"/>
      <c r="H644" s="32"/>
      <c r="I644" s="32">
        <v>10</v>
      </c>
      <c r="J644" s="32"/>
      <c r="K644" s="32">
        <v>1</v>
      </c>
      <c r="L644" s="32">
        <v>10000</v>
      </c>
      <c r="M644" s="32"/>
      <c r="N644" s="32">
        <v>1</v>
      </c>
      <c r="O644" s="32"/>
      <c r="P644" s="32"/>
    </row>
    <row r="645" spans="1:16" ht="22.5" customHeight="1" x14ac:dyDescent="0.35">
      <c r="A645" s="52"/>
      <c r="B645" s="50" t="s">
        <v>880</v>
      </c>
      <c r="C645" s="54" t="s">
        <v>881</v>
      </c>
      <c r="D645" s="32">
        <v>1</v>
      </c>
      <c r="E645" s="32"/>
      <c r="F645" s="32"/>
      <c r="G645" s="33"/>
      <c r="H645" s="32"/>
      <c r="I645" s="32"/>
      <c r="J645" s="32"/>
      <c r="K645" s="32"/>
      <c r="L645" s="32"/>
      <c r="M645" s="32"/>
      <c r="N645" s="32"/>
      <c r="O645" s="32"/>
      <c r="P645" s="32"/>
    </row>
    <row r="646" spans="1:16" ht="22.5" customHeight="1" x14ac:dyDescent="0.35">
      <c r="A646" s="52"/>
      <c r="B646" s="50" t="s">
        <v>882</v>
      </c>
      <c r="C646" s="54" t="s">
        <v>883</v>
      </c>
      <c r="D646" s="32">
        <v>1</v>
      </c>
      <c r="E646" s="32"/>
      <c r="F646" s="32"/>
      <c r="G646" s="33"/>
      <c r="H646" s="32"/>
      <c r="I646" s="32"/>
      <c r="J646" s="32"/>
      <c r="K646" s="32"/>
      <c r="L646" s="32"/>
      <c r="M646" s="32"/>
      <c r="N646" s="32"/>
      <c r="O646" s="32"/>
      <c r="P646" s="32"/>
    </row>
    <row r="647" spans="1:16" ht="22.5" customHeight="1" x14ac:dyDescent="0.35">
      <c r="A647" s="52"/>
      <c r="B647" s="50" t="s">
        <v>884</v>
      </c>
      <c r="C647" s="54" t="s">
        <v>885</v>
      </c>
      <c r="D647" s="32">
        <v>1</v>
      </c>
      <c r="E647" s="32"/>
      <c r="F647" s="32"/>
      <c r="G647" s="33"/>
      <c r="H647" s="32"/>
      <c r="I647" s="32"/>
      <c r="J647" s="32"/>
      <c r="K647" s="32"/>
      <c r="L647" s="32"/>
      <c r="M647" s="32"/>
      <c r="N647" s="32"/>
      <c r="O647" s="32"/>
      <c r="P647" s="32"/>
    </row>
    <row r="648" spans="1:16" ht="22.5" customHeight="1" x14ac:dyDescent="0.35">
      <c r="A648" s="52"/>
      <c r="B648" s="50" t="s">
        <v>886</v>
      </c>
      <c r="C648" s="54" t="s">
        <v>887</v>
      </c>
      <c r="D648" s="32">
        <v>1</v>
      </c>
      <c r="E648" s="32"/>
      <c r="F648" s="32"/>
      <c r="G648" s="33"/>
      <c r="H648" s="32"/>
      <c r="I648" s="32"/>
      <c r="J648" s="32"/>
      <c r="K648" s="32"/>
      <c r="L648" s="32"/>
      <c r="M648" s="32"/>
      <c r="N648" s="32"/>
      <c r="O648" s="32"/>
      <c r="P648" s="32"/>
    </row>
    <row r="649" spans="1:16" ht="22.5" customHeight="1" x14ac:dyDescent="0.35">
      <c r="A649" s="52"/>
      <c r="B649" s="50" t="s">
        <v>888</v>
      </c>
      <c r="C649" s="54" t="s">
        <v>889</v>
      </c>
      <c r="D649" s="32">
        <v>1</v>
      </c>
      <c r="E649" s="32"/>
      <c r="F649" s="32"/>
      <c r="G649" s="33"/>
      <c r="H649" s="32"/>
      <c r="I649" s="32"/>
      <c r="J649" s="32"/>
      <c r="K649" s="32"/>
      <c r="L649" s="32"/>
      <c r="M649" s="32"/>
      <c r="N649" s="32"/>
      <c r="O649" s="32"/>
      <c r="P649" s="32"/>
    </row>
    <row r="650" spans="1:16" ht="22.5" customHeight="1" x14ac:dyDescent="0.35">
      <c r="A650" s="52"/>
      <c r="B650" s="50" t="s">
        <v>890</v>
      </c>
      <c r="C650" s="54" t="s">
        <v>891</v>
      </c>
      <c r="D650" s="32">
        <v>1</v>
      </c>
      <c r="E650" s="32"/>
      <c r="F650" s="32"/>
      <c r="G650" s="33"/>
      <c r="H650" s="32"/>
      <c r="I650" s="32"/>
      <c r="J650" s="32"/>
      <c r="K650" s="32"/>
      <c r="L650" s="32"/>
      <c r="M650" s="32"/>
      <c r="N650" s="32"/>
      <c r="O650" s="32"/>
      <c r="P650" s="32"/>
    </row>
    <row r="651" spans="1:16" ht="22.5" customHeight="1" x14ac:dyDescent="0.35">
      <c r="A651" s="52"/>
      <c r="B651" s="48" t="s">
        <v>165</v>
      </c>
      <c r="D651" s="32">
        <v>1</v>
      </c>
      <c r="E651" s="32">
        <v>96</v>
      </c>
      <c r="F651" s="32">
        <v>960</v>
      </c>
      <c r="G651" s="33"/>
      <c r="H651" s="32">
        <v>10000</v>
      </c>
      <c r="I651" s="32"/>
      <c r="J651" s="32"/>
      <c r="K651" s="32">
        <v>1</v>
      </c>
      <c r="L651" s="32">
        <v>2000</v>
      </c>
      <c r="M651" s="32"/>
      <c r="N651" s="32"/>
      <c r="O651" s="32"/>
      <c r="P651" s="32">
        <v>2500</v>
      </c>
    </row>
    <row r="652" spans="1:16" ht="22.5" customHeight="1" x14ac:dyDescent="0.35">
      <c r="A652" s="52"/>
      <c r="B652" s="37" t="s">
        <v>892</v>
      </c>
      <c r="C652" s="54" t="s">
        <v>893</v>
      </c>
      <c r="D652" s="32">
        <v>1</v>
      </c>
      <c r="E652" s="32"/>
      <c r="F652" s="32"/>
      <c r="G652" s="33"/>
      <c r="H652" s="32"/>
      <c r="I652" s="32"/>
      <c r="J652" s="32"/>
      <c r="K652" s="32"/>
      <c r="L652" s="32"/>
      <c r="M652" s="32"/>
      <c r="N652" s="32"/>
      <c r="O652" s="32"/>
      <c r="P652" s="32"/>
    </row>
    <row r="653" spans="1:16" ht="22.5" customHeight="1" x14ac:dyDescent="0.35">
      <c r="A653" s="52"/>
      <c r="B653" s="37" t="s">
        <v>894</v>
      </c>
      <c r="C653" s="54" t="s">
        <v>895</v>
      </c>
      <c r="D653" s="32">
        <v>1</v>
      </c>
      <c r="E653" s="32"/>
      <c r="F653" s="32"/>
      <c r="G653" s="33"/>
      <c r="H653" s="32"/>
      <c r="I653" s="32"/>
      <c r="J653" s="32"/>
      <c r="K653" s="32"/>
      <c r="L653" s="32"/>
      <c r="M653" s="32"/>
      <c r="N653" s="32"/>
      <c r="O653" s="32"/>
      <c r="P653" s="32"/>
    </row>
    <row r="654" spans="1:16" ht="22.5" customHeight="1" x14ac:dyDescent="0.35">
      <c r="A654" s="52"/>
      <c r="B654" s="37" t="s">
        <v>896</v>
      </c>
      <c r="C654" s="54" t="s">
        <v>897</v>
      </c>
      <c r="D654" s="32">
        <v>1</v>
      </c>
      <c r="E654" s="32"/>
      <c r="F654" s="32"/>
      <c r="G654" s="33"/>
      <c r="H654" s="32"/>
      <c r="I654" s="32"/>
      <c r="J654" s="32"/>
      <c r="K654" s="32"/>
      <c r="L654" s="32"/>
      <c r="M654" s="32"/>
      <c r="N654" s="32"/>
      <c r="O654" s="32"/>
      <c r="P654" s="32"/>
    </row>
    <row r="655" spans="1:16" ht="22.5" customHeight="1" x14ac:dyDescent="0.35">
      <c r="A655" s="52"/>
      <c r="B655" s="37" t="s">
        <v>898</v>
      </c>
      <c r="C655" s="54" t="s">
        <v>899</v>
      </c>
      <c r="D655" s="32">
        <v>1</v>
      </c>
      <c r="E655" s="32"/>
      <c r="F655" s="32"/>
      <c r="G655" s="33"/>
      <c r="H655" s="32"/>
      <c r="I655" s="32"/>
      <c r="J655" s="32"/>
      <c r="K655" s="32"/>
      <c r="L655" s="32"/>
      <c r="M655" s="32"/>
      <c r="N655" s="32"/>
      <c r="O655" s="32"/>
      <c r="P655" s="32"/>
    </row>
    <row r="656" spans="1:16" ht="22.5" customHeight="1" x14ac:dyDescent="0.35">
      <c r="A656" s="52"/>
      <c r="B656" s="37" t="s">
        <v>900</v>
      </c>
      <c r="C656" s="54" t="s">
        <v>901</v>
      </c>
      <c r="D656" s="32">
        <v>1</v>
      </c>
      <c r="E656" s="32"/>
      <c r="F656" s="32"/>
      <c r="G656" s="33"/>
      <c r="H656" s="32"/>
      <c r="I656" s="32"/>
      <c r="J656" s="32"/>
      <c r="K656" s="32"/>
      <c r="L656" s="32"/>
      <c r="M656" s="32"/>
      <c r="N656" s="32"/>
      <c r="O656" s="32"/>
      <c r="P656" s="32"/>
    </row>
    <row r="657" spans="1:16" ht="22.5" customHeight="1" x14ac:dyDescent="0.35">
      <c r="A657" s="52"/>
      <c r="B657" s="50" t="s">
        <v>902</v>
      </c>
      <c r="C657" s="54" t="s">
        <v>903</v>
      </c>
      <c r="D657" s="32"/>
      <c r="E657" s="32"/>
      <c r="F657" s="32"/>
      <c r="G657" s="33"/>
      <c r="H657" s="32"/>
      <c r="I657" s="32"/>
      <c r="J657" s="32"/>
      <c r="K657" s="32"/>
      <c r="L657" s="32"/>
      <c r="M657" s="32"/>
      <c r="N657" s="32"/>
      <c r="O657" s="32"/>
      <c r="P657" s="32"/>
    </row>
    <row r="658" spans="1:16" ht="22.5" customHeight="1" x14ac:dyDescent="0.35">
      <c r="A658" s="52"/>
      <c r="B658" s="48" t="s">
        <v>166</v>
      </c>
      <c r="C658" s="68"/>
      <c r="D658" s="32">
        <v>1</v>
      </c>
      <c r="E658" s="32"/>
      <c r="F658" s="32"/>
      <c r="G658" s="33"/>
      <c r="H658" s="32"/>
      <c r="I658" s="32"/>
      <c r="J658" s="32"/>
      <c r="K658" s="32"/>
      <c r="L658" s="32"/>
      <c r="M658" s="32"/>
      <c r="N658" s="32"/>
      <c r="O658" s="32"/>
      <c r="P658" s="32"/>
    </row>
    <row r="659" spans="1:16" ht="22.5" customHeight="1" x14ac:dyDescent="0.35">
      <c r="A659" s="52"/>
      <c r="B659" s="37" t="s">
        <v>904</v>
      </c>
      <c r="C659" s="54" t="s">
        <v>905</v>
      </c>
      <c r="D659" s="32"/>
      <c r="E659" s="32"/>
      <c r="F659" s="32"/>
      <c r="G659" s="33"/>
      <c r="H659" s="32"/>
      <c r="I659" s="32"/>
      <c r="J659" s="32"/>
      <c r="K659" s="32"/>
      <c r="L659" s="32"/>
      <c r="M659" s="32"/>
      <c r="N659" s="32"/>
      <c r="O659" s="32"/>
      <c r="P659" s="32"/>
    </row>
    <row r="660" spans="1:16" ht="22.5" customHeight="1" x14ac:dyDescent="0.35">
      <c r="A660" s="45"/>
      <c r="B660" s="45" t="s">
        <v>84</v>
      </c>
      <c r="C660" s="46"/>
      <c r="D660" s="32"/>
      <c r="E660" s="32"/>
      <c r="F660" s="32"/>
      <c r="G660" s="33"/>
      <c r="H660" s="32"/>
      <c r="I660" s="32"/>
      <c r="J660" s="32"/>
      <c r="K660" s="32"/>
      <c r="L660" s="32"/>
      <c r="M660" s="32"/>
      <c r="N660" s="32"/>
      <c r="O660" s="32"/>
      <c r="P660" s="32"/>
    </row>
    <row r="661" spans="1:16" ht="22.5" customHeight="1" x14ac:dyDescent="0.35">
      <c r="A661" s="52"/>
      <c r="B661" s="48" t="s">
        <v>167</v>
      </c>
      <c r="D661" s="32">
        <v>1</v>
      </c>
      <c r="E661" s="32">
        <v>96</v>
      </c>
      <c r="F661" s="32">
        <v>960</v>
      </c>
      <c r="G661" s="33"/>
      <c r="H661" s="32">
        <v>10000</v>
      </c>
      <c r="I661" s="32"/>
      <c r="J661" s="32"/>
      <c r="K661" s="32">
        <v>1</v>
      </c>
      <c r="L661" s="32">
        <v>2000</v>
      </c>
      <c r="M661" s="32"/>
      <c r="N661" s="32"/>
      <c r="O661" s="32"/>
      <c r="P661" s="32">
        <v>2500</v>
      </c>
    </row>
    <row r="662" spans="1:16" ht="22.5" customHeight="1" x14ac:dyDescent="0.35">
      <c r="A662" s="52"/>
      <c r="B662" s="50" t="s">
        <v>906</v>
      </c>
      <c r="C662" s="54" t="s">
        <v>907</v>
      </c>
      <c r="D662" s="32">
        <v>1</v>
      </c>
      <c r="E662" s="32"/>
      <c r="F662" s="32"/>
      <c r="G662" s="33"/>
      <c r="H662" s="32"/>
      <c r="I662" s="32"/>
      <c r="J662" s="32"/>
      <c r="K662" s="32"/>
      <c r="L662" s="32"/>
      <c r="M662" s="32"/>
      <c r="N662" s="32"/>
      <c r="O662" s="32"/>
      <c r="P662" s="32"/>
    </row>
    <row r="663" spans="1:16" ht="22.5" customHeight="1" x14ac:dyDescent="0.35">
      <c r="A663" s="52"/>
      <c r="B663" s="50" t="s">
        <v>908</v>
      </c>
      <c r="C663" s="54" t="s">
        <v>909</v>
      </c>
      <c r="D663" s="32">
        <v>1</v>
      </c>
      <c r="E663" s="32"/>
      <c r="F663" s="32"/>
      <c r="G663" s="33"/>
      <c r="H663" s="32"/>
      <c r="I663" s="32"/>
      <c r="J663" s="32"/>
      <c r="K663" s="32"/>
      <c r="L663" s="32"/>
      <c r="M663" s="32"/>
      <c r="N663" s="32"/>
      <c r="O663" s="32"/>
      <c r="P663" s="32"/>
    </row>
    <row r="664" spans="1:16" ht="22.5" customHeight="1" x14ac:dyDescent="0.35">
      <c r="A664" s="52"/>
      <c r="B664" s="50" t="s">
        <v>910</v>
      </c>
      <c r="C664" s="54" t="s">
        <v>911</v>
      </c>
      <c r="D664" s="32">
        <v>1</v>
      </c>
      <c r="E664" s="32"/>
      <c r="F664" s="32"/>
      <c r="G664" s="33"/>
      <c r="H664" s="32"/>
      <c r="I664" s="32"/>
      <c r="J664" s="32"/>
      <c r="K664" s="32"/>
      <c r="L664" s="32"/>
      <c r="M664" s="32"/>
      <c r="N664" s="32"/>
      <c r="O664" s="32"/>
      <c r="P664" s="32"/>
    </row>
    <row r="665" spans="1:16" ht="22.5" customHeight="1" x14ac:dyDescent="0.35">
      <c r="A665" s="52"/>
      <c r="B665" s="48" t="s">
        <v>168</v>
      </c>
      <c r="D665" s="32">
        <v>1</v>
      </c>
      <c r="E665" s="32"/>
      <c r="F665" s="32"/>
      <c r="G665" s="33"/>
      <c r="H665" s="32"/>
      <c r="I665" s="32"/>
      <c r="J665" s="32"/>
      <c r="K665" s="32"/>
      <c r="L665" s="32"/>
      <c r="M665" s="32"/>
      <c r="N665" s="32"/>
      <c r="O665" s="32"/>
      <c r="P665" s="32"/>
    </row>
    <row r="666" spans="1:16" ht="22.5" customHeight="1" x14ac:dyDescent="0.35">
      <c r="A666" s="52"/>
      <c r="B666" s="50" t="s">
        <v>912</v>
      </c>
      <c r="C666" s="54" t="s">
        <v>913</v>
      </c>
      <c r="D666" s="32">
        <v>1</v>
      </c>
      <c r="E666" s="32"/>
      <c r="F666" s="32"/>
      <c r="G666" s="33"/>
      <c r="H666" s="32"/>
      <c r="I666" s="32"/>
      <c r="J666" s="32"/>
      <c r="K666" s="32"/>
      <c r="L666" s="32"/>
      <c r="M666" s="32"/>
      <c r="N666" s="32"/>
      <c r="O666" s="32"/>
      <c r="P666" s="32"/>
    </row>
    <row r="667" spans="1:16" ht="22.5" customHeight="1" x14ac:dyDescent="0.35">
      <c r="A667" s="52"/>
      <c r="B667" s="50" t="s">
        <v>914</v>
      </c>
      <c r="C667" s="54" t="s">
        <v>915</v>
      </c>
      <c r="D667" s="32">
        <v>1</v>
      </c>
      <c r="E667" s="32">
        <v>96</v>
      </c>
      <c r="F667" s="32">
        <v>960</v>
      </c>
      <c r="G667" s="33"/>
      <c r="H667" s="32">
        <v>10000</v>
      </c>
      <c r="I667" s="32"/>
      <c r="J667" s="32"/>
      <c r="K667" s="32">
        <v>1</v>
      </c>
      <c r="L667" s="32">
        <v>2000</v>
      </c>
      <c r="M667" s="32"/>
      <c r="N667" s="32"/>
      <c r="O667" s="32"/>
      <c r="P667" s="32">
        <v>2500</v>
      </c>
    </row>
    <row r="668" spans="1:16" ht="22.5" customHeight="1" x14ac:dyDescent="0.35">
      <c r="A668" s="52"/>
      <c r="B668" s="50" t="s">
        <v>916</v>
      </c>
      <c r="C668" s="54" t="s">
        <v>917</v>
      </c>
      <c r="D668" s="32">
        <v>1</v>
      </c>
      <c r="E668" s="32"/>
      <c r="F668" s="32"/>
      <c r="G668" s="33"/>
      <c r="H668" s="32"/>
      <c r="I668" s="32"/>
      <c r="J668" s="32"/>
      <c r="K668" s="32"/>
      <c r="L668" s="32"/>
      <c r="M668" s="32"/>
      <c r="N668" s="32"/>
      <c r="O668" s="32"/>
      <c r="P668" s="32"/>
    </row>
    <row r="669" spans="1:16" ht="22.5" customHeight="1" x14ac:dyDescent="0.35">
      <c r="A669" s="52"/>
      <c r="B669" s="50" t="s">
        <v>918</v>
      </c>
      <c r="C669" s="54" t="s">
        <v>919</v>
      </c>
      <c r="D669" s="32">
        <v>1</v>
      </c>
      <c r="E669" s="32"/>
      <c r="F669" s="32"/>
      <c r="G669" s="33"/>
      <c r="H669" s="32"/>
      <c r="I669" s="32"/>
      <c r="J669" s="32"/>
      <c r="K669" s="32"/>
      <c r="L669" s="32"/>
      <c r="M669" s="32"/>
      <c r="N669" s="32"/>
      <c r="O669" s="32"/>
      <c r="P669" s="32"/>
    </row>
    <row r="670" spans="1:16" ht="22.5" customHeight="1" x14ac:dyDescent="0.35">
      <c r="A670" s="52"/>
      <c r="B670" s="50" t="s">
        <v>920</v>
      </c>
      <c r="C670" s="54" t="s">
        <v>921</v>
      </c>
      <c r="D670" s="32">
        <v>1</v>
      </c>
      <c r="E670" s="32"/>
      <c r="F670" s="32"/>
      <c r="G670" s="33"/>
      <c r="H670" s="32"/>
      <c r="I670" s="32"/>
      <c r="J670" s="32"/>
      <c r="K670" s="32"/>
      <c r="L670" s="32"/>
      <c r="M670" s="32"/>
      <c r="N670" s="32"/>
      <c r="O670" s="32"/>
      <c r="P670" s="32"/>
    </row>
    <row r="671" spans="1:16" ht="22.5" customHeight="1" x14ac:dyDescent="0.35">
      <c r="A671" s="52"/>
      <c r="B671" s="50" t="s">
        <v>922</v>
      </c>
      <c r="C671" s="54" t="s">
        <v>923</v>
      </c>
      <c r="D671" s="32">
        <v>1</v>
      </c>
      <c r="E671" s="32"/>
      <c r="F671" s="32"/>
      <c r="G671" s="33"/>
      <c r="H671" s="32"/>
      <c r="I671" s="32"/>
      <c r="J671" s="32"/>
      <c r="K671" s="32"/>
      <c r="L671" s="32"/>
      <c r="M671" s="32"/>
      <c r="N671" s="32"/>
      <c r="O671" s="32"/>
      <c r="P671" s="32"/>
    </row>
    <row r="672" spans="1:16" ht="22.5" customHeight="1" x14ac:dyDescent="0.35">
      <c r="A672" s="52"/>
      <c r="B672" s="50" t="s">
        <v>924</v>
      </c>
      <c r="C672" s="54" t="s">
        <v>925</v>
      </c>
      <c r="D672" s="32">
        <v>1</v>
      </c>
      <c r="E672" s="32"/>
      <c r="F672" s="32"/>
      <c r="G672" s="33"/>
      <c r="H672" s="32"/>
      <c r="I672" s="32"/>
      <c r="J672" s="32"/>
      <c r="K672" s="32"/>
      <c r="L672" s="32"/>
      <c r="M672" s="32"/>
      <c r="N672" s="32"/>
      <c r="O672" s="32"/>
      <c r="P672" s="32"/>
    </row>
    <row r="673" spans="1:16" ht="22.5" customHeight="1" x14ac:dyDescent="0.35">
      <c r="A673" s="52"/>
      <c r="B673" s="50" t="s">
        <v>926</v>
      </c>
      <c r="C673" s="54" t="s">
        <v>927</v>
      </c>
      <c r="D673" s="32">
        <v>1</v>
      </c>
      <c r="E673" s="32"/>
      <c r="F673" s="32"/>
      <c r="G673" s="33"/>
      <c r="H673" s="32"/>
      <c r="I673" s="32"/>
      <c r="J673" s="32"/>
      <c r="K673" s="32"/>
      <c r="L673" s="32"/>
      <c r="M673" s="32"/>
      <c r="N673" s="32"/>
      <c r="O673" s="32"/>
      <c r="P673" s="32"/>
    </row>
    <row r="674" spans="1:16" ht="22.5" customHeight="1" x14ac:dyDescent="0.35">
      <c r="A674" s="52"/>
      <c r="B674" s="50" t="s">
        <v>928</v>
      </c>
      <c r="C674" s="54" t="s">
        <v>929</v>
      </c>
      <c r="D674" s="32">
        <v>1</v>
      </c>
      <c r="E674" s="32"/>
      <c r="F674" s="32"/>
      <c r="G674" s="33"/>
      <c r="H674" s="32"/>
      <c r="I674" s="32"/>
      <c r="J674" s="32"/>
      <c r="K674" s="32"/>
      <c r="L674" s="32"/>
      <c r="M674" s="32"/>
      <c r="N674" s="32"/>
      <c r="O674" s="32"/>
      <c r="P674" s="32"/>
    </row>
    <row r="675" spans="1:16" ht="22.5" customHeight="1" x14ac:dyDescent="0.35">
      <c r="A675" s="52"/>
      <c r="B675" s="50" t="s">
        <v>930</v>
      </c>
      <c r="C675" s="54" t="s">
        <v>931</v>
      </c>
      <c r="D675" s="32">
        <v>1</v>
      </c>
      <c r="E675" s="32"/>
      <c r="F675" s="32"/>
      <c r="G675" s="33"/>
      <c r="H675" s="32"/>
      <c r="I675" s="32"/>
      <c r="J675" s="32"/>
      <c r="K675" s="32"/>
      <c r="L675" s="32"/>
      <c r="M675" s="32"/>
      <c r="N675" s="32"/>
      <c r="O675" s="32"/>
      <c r="P675" s="32"/>
    </row>
    <row r="676" spans="1:16" ht="22.5" customHeight="1" x14ac:dyDescent="0.35">
      <c r="A676" s="52"/>
      <c r="B676" s="48" t="s">
        <v>169</v>
      </c>
      <c r="D676" s="32">
        <v>1</v>
      </c>
      <c r="E676" s="32">
        <v>96</v>
      </c>
      <c r="F676" s="32">
        <v>960</v>
      </c>
      <c r="G676" s="33"/>
      <c r="H676" s="32">
        <v>10000</v>
      </c>
      <c r="I676" s="32"/>
      <c r="J676" s="32"/>
      <c r="K676" s="32">
        <v>1</v>
      </c>
      <c r="L676" s="32">
        <v>2000</v>
      </c>
      <c r="M676" s="32"/>
      <c r="N676" s="32"/>
      <c r="O676" s="32"/>
      <c r="P676" s="32">
        <v>2500</v>
      </c>
    </row>
    <row r="677" spans="1:16" ht="22.5" customHeight="1" x14ac:dyDescent="0.35">
      <c r="A677" s="52"/>
      <c r="B677" s="50" t="s">
        <v>932</v>
      </c>
      <c r="C677" s="54" t="s">
        <v>933</v>
      </c>
      <c r="D677" s="32">
        <v>1</v>
      </c>
      <c r="E677" s="32"/>
      <c r="F677" s="32"/>
      <c r="G677" s="33"/>
      <c r="H677" s="32"/>
      <c r="I677" s="32"/>
      <c r="J677" s="32"/>
      <c r="K677" s="32"/>
      <c r="L677" s="32"/>
      <c r="M677" s="32"/>
      <c r="N677" s="32"/>
      <c r="O677" s="32"/>
      <c r="P677" s="32"/>
    </row>
    <row r="678" spans="1:16" ht="22.5" customHeight="1" x14ac:dyDescent="0.35">
      <c r="A678" s="52"/>
      <c r="B678" s="50" t="s">
        <v>934</v>
      </c>
      <c r="C678" s="54" t="s">
        <v>935</v>
      </c>
      <c r="D678" s="32">
        <v>1</v>
      </c>
      <c r="E678" s="32"/>
      <c r="F678" s="32"/>
      <c r="G678" s="33"/>
      <c r="H678" s="32"/>
      <c r="I678" s="32"/>
      <c r="J678" s="32"/>
      <c r="K678" s="32"/>
      <c r="L678" s="32"/>
      <c r="M678" s="32"/>
      <c r="N678" s="32"/>
      <c r="O678" s="32"/>
      <c r="P678" s="32"/>
    </row>
    <row r="679" spans="1:16" ht="22.5" customHeight="1" x14ac:dyDescent="0.35">
      <c r="A679" s="52"/>
      <c r="B679" s="50" t="s">
        <v>936</v>
      </c>
      <c r="C679" s="54" t="s">
        <v>937</v>
      </c>
      <c r="D679" s="32">
        <v>1</v>
      </c>
      <c r="E679" s="32"/>
      <c r="F679" s="32"/>
      <c r="G679" s="33"/>
      <c r="H679" s="32"/>
      <c r="I679" s="32"/>
      <c r="J679" s="32"/>
      <c r="K679" s="32"/>
      <c r="L679" s="32"/>
      <c r="M679" s="32"/>
      <c r="N679" s="32"/>
      <c r="O679" s="32"/>
      <c r="P679" s="32"/>
    </row>
    <row r="680" spans="1:16" ht="22.5" customHeight="1" x14ac:dyDescent="0.35">
      <c r="A680" s="52"/>
      <c r="B680" s="50" t="s">
        <v>938</v>
      </c>
      <c r="C680" s="54" t="s">
        <v>939</v>
      </c>
      <c r="D680" s="32">
        <v>1</v>
      </c>
      <c r="E680" s="32"/>
      <c r="F680" s="32"/>
      <c r="G680" s="33"/>
      <c r="H680" s="32"/>
      <c r="I680" s="32"/>
      <c r="J680" s="32"/>
      <c r="K680" s="32"/>
      <c r="L680" s="32"/>
      <c r="M680" s="32"/>
      <c r="N680" s="32"/>
      <c r="O680" s="32"/>
      <c r="P680" s="32"/>
    </row>
    <row r="681" spans="1:16" ht="22.5" customHeight="1" x14ac:dyDescent="0.35">
      <c r="A681" s="52"/>
      <c r="B681" s="48" t="s">
        <v>170</v>
      </c>
      <c r="D681" s="32">
        <v>1</v>
      </c>
      <c r="E681" s="32">
        <v>96</v>
      </c>
      <c r="F681" s="32">
        <v>960</v>
      </c>
      <c r="G681" s="33"/>
      <c r="H681" s="32">
        <v>10000</v>
      </c>
      <c r="I681" s="32"/>
      <c r="J681" s="32"/>
      <c r="K681" s="32">
        <v>1</v>
      </c>
      <c r="L681" s="32">
        <v>2000</v>
      </c>
      <c r="M681" s="32"/>
      <c r="N681" s="32"/>
      <c r="O681" s="32"/>
      <c r="P681" s="32">
        <v>2500</v>
      </c>
    </row>
    <row r="682" spans="1:16" ht="22.5" customHeight="1" x14ac:dyDescent="0.35">
      <c r="A682" s="52"/>
      <c r="B682" s="50" t="s">
        <v>940</v>
      </c>
      <c r="C682" s="54" t="s">
        <v>941</v>
      </c>
      <c r="D682" s="32">
        <v>1</v>
      </c>
      <c r="E682" s="32">
        <v>96</v>
      </c>
      <c r="F682" s="32">
        <v>960</v>
      </c>
      <c r="G682" s="33"/>
      <c r="H682" s="32">
        <v>10000</v>
      </c>
      <c r="I682" s="32"/>
      <c r="J682" s="32"/>
      <c r="K682" s="32">
        <v>1</v>
      </c>
      <c r="L682" s="32">
        <v>2000</v>
      </c>
      <c r="M682" s="32"/>
      <c r="N682" s="32"/>
      <c r="O682" s="32"/>
      <c r="P682" s="32">
        <v>2500</v>
      </c>
    </row>
    <row r="683" spans="1:16" ht="22.5" customHeight="1" x14ac:dyDescent="0.35">
      <c r="A683" s="52"/>
      <c r="B683" s="50" t="s">
        <v>942</v>
      </c>
      <c r="C683" s="54" t="s">
        <v>943</v>
      </c>
      <c r="D683" s="32">
        <v>1</v>
      </c>
      <c r="E683" s="32">
        <v>96</v>
      </c>
      <c r="F683" s="32">
        <v>960</v>
      </c>
      <c r="G683" s="33"/>
      <c r="H683" s="32">
        <v>10000</v>
      </c>
      <c r="I683" s="32"/>
      <c r="J683" s="32"/>
      <c r="K683" s="32">
        <v>1</v>
      </c>
      <c r="L683" s="32">
        <v>2000</v>
      </c>
      <c r="M683" s="32"/>
      <c r="N683" s="32"/>
      <c r="O683" s="32"/>
      <c r="P683" s="32">
        <v>2500</v>
      </c>
    </row>
    <row r="684" spans="1:16" ht="22.5" customHeight="1" x14ac:dyDescent="0.35">
      <c r="A684" s="52"/>
      <c r="B684" s="50" t="s">
        <v>944</v>
      </c>
      <c r="C684" s="54" t="s">
        <v>945</v>
      </c>
      <c r="D684" s="32">
        <v>1</v>
      </c>
      <c r="E684" s="32"/>
      <c r="F684" s="32"/>
      <c r="G684" s="33"/>
      <c r="H684" s="32"/>
      <c r="I684" s="32"/>
      <c r="J684" s="32"/>
      <c r="K684" s="32"/>
      <c r="L684" s="32"/>
      <c r="M684" s="32"/>
      <c r="N684" s="32"/>
      <c r="O684" s="32"/>
      <c r="P684" s="32"/>
    </row>
    <row r="685" spans="1:16" ht="22.5" customHeight="1" x14ac:dyDescent="0.35">
      <c r="A685" s="52"/>
      <c r="B685" s="50" t="s">
        <v>946</v>
      </c>
      <c r="C685" s="54" t="s">
        <v>947</v>
      </c>
      <c r="D685" s="32">
        <v>1</v>
      </c>
      <c r="E685" s="32"/>
      <c r="F685" s="32"/>
      <c r="G685" s="33"/>
      <c r="H685" s="32"/>
      <c r="I685" s="32"/>
      <c r="J685" s="32"/>
      <c r="K685" s="32"/>
      <c r="L685" s="32"/>
      <c r="M685" s="32"/>
      <c r="N685" s="32"/>
      <c r="O685" s="32"/>
      <c r="P685" s="32"/>
    </row>
    <row r="686" spans="1:16" ht="22.5" customHeight="1" x14ac:dyDescent="0.35">
      <c r="A686" s="52"/>
      <c r="B686" s="50" t="s">
        <v>948</v>
      </c>
      <c r="C686" s="54" t="s">
        <v>949</v>
      </c>
      <c r="D686" s="32">
        <v>1</v>
      </c>
      <c r="E686" s="32"/>
      <c r="F686" s="32"/>
      <c r="G686" s="33"/>
      <c r="H686" s="32"/>
      <c r="I686" s="32"/>
      <c r="J686" s="32"/>
      <c r="K686" s="32"/>
      <c r="L686" s="32"/>
      <c r="M686" s="32"/>
      <c r="N686" s="32"/>
      <c r="O686" s="32"/>
      <c r="P686" s="32"/>
    </row>
    <row r="687" spans="1:16" ht="22.5" customHeight="1" x14ac:dyDescent="0.35">
      <c r="A687" s="52"/>
      <c r="B687" s="50" t="s">
        <v>950</v>
      </c>
      <c r="C687" s="54" t="s">
        <v>951</v>
      </c>
      <c r="D687" s="32">
        <v>1</v>
      </c>
      <c r="E687" s="32"/>
      <c r="F687" s="32"/>
      <c r="G687" s="33"/>
      <c r="H687" s="32"/>
      <c r="I687" s="32"/>
      <c r="J687" s="32"/>
      <c r="K687" s="32"/>
      <c r="L687" s="32"/>
      <c r="M687" s="32"/>
      <c r="N687" s="32"/>
      <c r="O687" s="32"/>
      <c r="P687" s="32"/>
    </row>
    <row r="688" spans="1:16" ht="22.5" customHeight="1" x14ac:dyDescent="0.35">
      <c r="A688" s="52"/>
      <c r="B688" s="50" t="s">
        <v>952</v>
      </c>
      <c r="C688" s="54" t="s">
        <v>953</v>
      </c>
      <c r="D688" s="32">
        <v>1</v>
      </c>
      <c r="E688" s="32"/>
      <c r="F688" s="32"/>
      <c r="G688" s="33"/>
      <c r="H688" s="32"/>
      <c r="I688" s="32"/>
      <c r="J688" s="32"/>
      <c r="K688" s="32"/>
      <c r="L688" s="32"/>
      <c r="M688" s="32"/>
      <c r="N688" s="32"/>
      <c r="O688" s="32"/>
      <c r="P688" s="32"/>
    </row>
    <row r="689" spans="1:16" ht="22.5" customHeight="1" x14ac:dyDescent="0.35">
      <c r="A689" s="52"/>
      <c r="B689" s="50" t="s">
        <v>954</v>
      </c>
      <c r="C689" s="54" t="s">
        <v>955</v>
      </c>
      <c r="D689" s="32">
        <v>1</v>
      </c>
      <c r="E689" s="32"/>
      <c r="F689" s="32"/>
      <c r="G689" s="33"/>
      <c r="H689" s="32"/>
      <c r="I689" s="32"/>
      <c r="J689" s="32"/>
      <c r="K689" s="32"/>
      <c r="L689" s="32"/>
      <c r="M689" s="32"/>
      <c r="N689" s="32"/>
      <c r="O689" s="32"/>
      <c r="P689" s="32"/>
    </row>
    <row r="690" spans="1:16" ht="22.5" customHeight="1" x14ac:dyDescent="0.35">
      <c r="A690" s="52"/>
      <c r="B690" s="50" t="s">
        <v>956</v>
      </c>
      <c r="C690" s="54" t="s">
        <v>957</v>
      </c>
      <c r="D690" s="32">
        <v>12</v>
      </c>
      <c r="E690" s="32">
        <v>1</v>
      </c>
      <c r="F690" s="32">
        <v>1</v>
      </c>
      <c r="G690" s="33">
        <v>1</v>
      </c>
      <c r="H690" s="32">
        <v>1</v>
      </c>
      <c r="I690" s="32"/>
      <c r="J690" s="32"/>
      <c r="K690" s="32"/>
      <c r="L690" s="32"/>
      <c r="M690" s="32"/>
      <c r="N690" s="32">
        <v>200</v>
      </c>
      <c r="O690" s="32"/>
      <c r="P690" s="32">
        <v>1000</v>
      </c>
    </row>
    <row r="691" spans="1:16" ht="22.5" customHeight="1" x14ac:dyDescent="0.35">
      <c r="A691" s="52"/>
      <c r="B691" s="69" t="s">
        <v>958</v>
      </c>
      <c r="C691" s="54" t="s">
        <v>959</v>
      </c>
      <c r="D691" s="32">
        <v>1</v>
      </c>
      <c r="E691" s="32"/>
      <c r="F691" s="32"/>
      <c r="G691" s="33"/>
      <c r="H691" s="32"/>
      <c r="I691" s="32"/>
      <c r="J691" s="32"/>
      <c r="K691" s="32"/>
      <c r="L691" s="32"/>
      <c r="M691" s="32"/>
      <c r="N691" s="32"/>
      <c r="O691" s="32"/>
      <c r="P691" s="32"/>
    </row>
    <row r="692" spans="1:16" ht="22.5" customHeight="1" x14ac:dyDescent="0.35">
      <c r="A692" s="52"/>
      <c r="B692" s="69" t="s">
        <v>960</v>
      </c>
      <c r="C692" s="54" t="s">
        <v>961</v>
      </c>
      <c r="D692" s="32">
        <v>1</v>
      </c>
      <c r="E692" s="32">
        <v>1</v>
      </c>
      <c r="F692" s="32">
        <v>1</v>
      </c>
      <c r="G692" s="33">
        <v>1</v>
      </c>
      <c r="H692" s="32">
        <v>1</v>
      </c>
      <c r="I692" s="32"/>
      <c r="J692" s="32"/>
      <c r="K692" s="32"/>
      <c r="L692" s="32"/>
      <c r="M692" s="32"/>
      <c r="N692" s="32">
        <v>100</v>
      </c>
      <c r="O692" s="32"/>
      <c r="P692" s="32">
        <v>5000</v>
      </c>
    </row>
    <row r="693" spans="1:16" ht="22.5" customHeight="1" x14ac:dyDescent="0.35">
      <c r="A693" s="52"/>
      <c r="B693" s="69" t="s">
        <v>962</v>
      </c>
      <c r="C693" s="54" t="s">
        <v>963</v>
      </c>
      <c r="D693" s="32"/>
      <c r="E693" s="32"/>
      <c r="F693" s="32"/>
      <c r="G693" s="33"/>
      <c r="H693" s="32"/>
      <c r="I693" s="32"/>
      <c r="J693" s="32"/>
      <c r="K693" s="32"/>
      <c r="L693" s="32"/>
      <c r="M693" s="32"/>
      <c r="N693" s="32"/>
      <c r="O693" s="32"/>
      <c r="P693" s="32"/>
    </row>
    <row r="694" spans="1:16" ht="22.5" customHeight="1" x14ac:dyDescent="0.35">
      <c r="A694" s="52"/>
      <c r="B694" s="48" t="s">
        <v>171</v>
      </c>
      <c r="D694" s="32">
        <v>1</v>
      </c>
      <c r="E694" s="32">
        <v>96</v>
      </c>
      <c r="F694" s="32">
        <v>960</v>
      </c>
      <c r="G694" s="33"/>
      <c r="H694" s="32">
        <v>10000</v>
      </c>
      <c r="I694" s="32"/>
      <c r="J694" s="32"/>
      <c r="K694" s="32">
        <v>1</v>
      </c>
      <c r="L694" s="32">
        <v>2000</v>
      </c>
      <c r="M694" s="32"/>
      <c r="N694" s="32"/>
      <c r="O694" s="32"/>
      <c r="P694" s="32">
        <v>2500</v>
      </c>
    </row>
    <row r="695" spans="1:16" ht="22.5" customHeight="1" x14ac:dyDescent="0.35">
      <c r="A695" s="52"/>
      <c r="B695" s="50" t="s">
        <v>964</v>
      </c>
      <c r="C695" s="54" t="s">
        <v>965</v>
      </c>
      <c r="D695" s="32">
        <v>1</v>
      </c>
      <c r="E695" s="32"/>
      <c r="F695" s="32"/>
      <c r="G695" s="33"/>
      <c r="H695" s="32"/>
      <c r="I695" s="32"/>
      <c r="J695" s="32"/>
      <c r="K695" s="32"/>
      <c r="L695" s="32"/>
      <c r="M695" s="32"/>
      <c r="N695" s="32"/>
      <c r="O695" s="32"/>
      <c r="P695" s="32"/>
    </row>
    <row r="696" spans="1:16" ht="22.5" customHeight="1" x14ac:dyDescent="0.35">
      <c r="A696" s="52"/>
      <c r="B696" s="50" t="s">
        <v>966</v>
      </c>
      <c r="C696" s="54" t="s">
        <v>967</v>
      </c>
      <c r="D696" s="32">
        <v>1</v>
      </c>
      <c r="E696" s="32"/>
      <c r="F696" s="32"/>
      <c r="G696" s="33"/>
      <c r="H696" s="32"/>
      <c r="I696" s="32"/>
      <c r="J696" s="32"/>
      <c r="K696" s="32"/>
      <c r="L696" s="32"/>
      <c r="M696" s="32"/>
      <c r="N696" s="32"/>
      <c r="O696" s="32"/>
      <c r="P696" s="32"/>
    </row>
    <row r="697" spans="1:16" ht="22.5" customHeight="1" x14ac:dyDescent="0.35">
      <c r="A697" s="52"/>
      <c r="B697" s="50" t="s">
        <v>968</v>
      </c>
      <c r="C697" s="54" t="s">
        <v>969</v>
      </c>
      <c r="D697" s="32"/>
      <c r="E697" s="32"/>
      <c r="F697" s="32"/>
      <c r="G697" s="33"/>
      <c r="H697" s="32"/>
      <c r="I697" s="32"/>
      <c r="J697" s="32"/>
      <c r="K697" s="32"/>
      <c r="L697" s="32"/>
      <c r="M697" s="32"/>
      <c r="N697" s="32"/>
      <c r="O697" s="32"/>
      <c r="P697" s="32"/>
    </row>
    <row r="698" spans="1:16" s="21" customFormat="1" ht="22.5" customHeight="1" x14ac:dyDescent="0.35">
      <c r="A698" s="70"/>
      <c r="B698" s="70" t="s">
        <v>24</v>
      </c>
      <c r="C698" s="71" t="s">
        <v>970</v>
      </c>
      <c r="D698" s="71"/>
      <c r="E698" s="71"/>
      <c r="F698" s="71"/>
      <c r="G698" s="71"/>
      <c r="H698" s="71"/>
      <c r="I698" s="71"/>
      <c r="J698" s="71"/>
      <c r="K698" s="71"/>
      <c r="L698" s="71"/>
      <c r="M698" s="71"/>
      <c r="N698" s="71"/>
      <c r="O698" s="71"/>
      <c r="P698" s="71"/>
    </row>
    <row r="699" spans="1:16" s="21" customFormat="1" ht="22.5" customHeight="1" x14ac:dyDescent="0.35">
      <c r="A699" s="72"/>
      <c r="B699" s="72" t="s">
        <v>86</v>
      </c>
      <c r="C699" s="73"/>
      <c r="D699" s="32"/>
      <c r="E699" s="32"/>
      <c r="F699" s="32"/>
      <c r="G699" s="33"/>
      <c r="H699" s="32"/>
      <c r="I699" s="32"/>
      <c r="J699" s="32"/>
      <c r="K699" s="32"/>
      <c r="L699" s="32"/>
      <c r="M699" s="32"/>
      <c r="N699" s="32"/>
      <c r="O699" s="32"/>
      <c r="P699" s="32"/>
    </row>
    <row r="700" spans="1:16" s="22" customFormat="1" ht="22.5" customHeight="1" x14ac:dyDescent="0.35">
      <c r="A700" s="74"/>
      <c r="B700" s="75" t="s">
        <v>172</v>
      </c>
      <c r="C700" s="76"/>
      <c r="D700" s="77">
        <v>1</v>
      </c>
      <c r="E700" s="77"/>
      <c r="F700" s="77">
        <v>10</v>
      </c>
      <c r="G700" s="78">
        <v>40000</v>
      </c>
      <c r="H700" s="77"/>
      <c r="I700" s="77">
        <v>25</v>
      </c>
      <c r="J700" s="77"/>
      <c r="K700" s="77">
        <v>5</v>
      </c>
      <c r="L700" s="77"/>
      <c r="M700" s="77"/>
      <c r="N700" s="77"/>
      <c r="O700" s="78"/>
      <c r="P700" s="77"/>
    </row>
    <row r="701" spans="1:16" s="22" customFormat="1" ht="22.5" customHeight="1" x14ac:dyDescent="0.35">
      <c r="A701" s="74"/>
      <c r="B701" s="79" t="s">
        <v>971</v>
      </c>
      <c r="C701" s="76" t="s">
        <v>972</v>
      </c>
      <c r="D701" s="77">
        <v>1</v>
      </c>
      <c r="E701" s="77"/>
      <c r="F701" s="77"/>
      <c r="G701" s="78"/>
      <c r="H701" s="77"/>
      <c r="I701" s="77"/>
      <c r="J701" s="77"/>
      <c r="K701" s="77"/>
      <c r="L701" s="77"/>
      <c r="M701" s="77"/>
      <c r="N701" s="77"/>
      <c r="O701" s="78">
        <v>0</v>
      </c>
      <c r="P701" s="77"/>
    </row>
    <row r="702" spans="1:16" s="22" customFormat="1" ht="22.5" customHeight="1" x14ac:dyDescent="0.35">
      <c r="A702" s="74"/>
      <c r="B702" s="79" t="s">
        <v>973</v>
      </c>
      <c r="C702" s="76" t="s">
        <v>974</v>
      </c>
      <c r="D702" s="77">
        <v>1</v>
      </c>
      <c r="E702" s="77"/>
      <c r="F702" s="77">
        <v>10</v>
      </c>
      <c r="G702" s="78">
        <v>10000</v>
      </c>
      <c r="H702" s="77"/>
      <c r="I702" s="77">
        <v>25</v>
      </c>
      <c r="J702" s="77"/>
      <c r="K702" s="77">
        <v>1</v>
      </c>
      <c r="L702" s="77"/>
      <c r="M702" s="77"/>
      <c r="N702" s="77"/>
      <c r="O702" s="78"/>
      <c r="P702" s="77"/>
    </row>
    <row r="703" spans="1:16" s="22" customFormat="1" ht="22.5" customHeight="1" x14ac:dyDescent="0.35">
      <c r="A703" s="74"/>
      <c r="B703" s="79" t="s">
        <v>975</v>
      </c>
      <c r="C703" s="76" t="s">
        <v>976</v>
      </c>
      <c r="D703" s="77"/>
      <c r="E703" s="77"/>
      <c r="F703" s="77"/>
      <c r="G703" s="78"/>
      <c r="H703" s="77"/>
      <c r="I703" s="77"/>
      <c r="J703" s="77"/>
      <c r="K703" s="77"/>
      <c r="L703" s="77"/>
      <c r="M703" s="77"/>
      <c r="N703" s="77"/>
      <c r="O703" s="78"/>
      <c r="P703" s="77"/>
    </row>
    <row r="704" spans="1:16" s="22" customFormat="1" ht="22.5" customHeight="1" x14ac:dyDescent="0.35">
      <c r="A704" s="74"/>
      <c r="B704" s="75" t="s">
        <v>173</v>
      </c>
      <c r="C704" s="76"/>
      <c r="D704" s="77">
        <v>1</v>
      </c>
      <c r="E704" s="77"/>
      <c r="F704" s="77"/>
      <c r="G704" s="78"/>
      <c r="H704" s="77"/>
      <c r="I704" s="77">
        <v>15</v>
      </c>
      <c r="J704" s="77"/>
      <c r="K704" s="77">
        <v>5</v>
      </c>
      <c r="L704" s="77"/>
      <c r="M704" s="77">
        <v>100000</v>
      </c>
      <c r="N704" s="77"/>
      <c r="O704" s="78">
        <v>0</v>
      </c>
      <c r="P704" s="77"/>
    </row>
    <row r="705" spans="1:16" s="22" customFormat="1" ht="22.5" customHeight="1" x14ac:dyDescent="0.35">
      <c r="A705" s="74"/>
      <c r="B705" s="79" t="s">
        <v>977</v>
      </c>
      <c r="C705" s="76" t="s">
        <v>978</v>
      </c>
      <c r="D705" s="77">
        <v>1</v>
      </c>
      <c r="E705" s="77"/>
      <c r="F705" s="77">
        <v>1</v>
      </c>
      <c r="G705" s="78">
        <v>1</v>
      </c>
      <c r="H705" s="77">
        <v>1</v>
      </c>
      <c r="I705" s="77">
        <v>114</v>
      </c>
      <c r="J705" s="77"/>
      <c r="K705" s="77">
        <v>0</v>
      </c>
      <c r="L705" s="77"/>
      <c r="M705" s="77">
        <v>100000</v>
      </c>
      <c r="N705" s="77"/>
      <c r="O705" s="78">
        <v>2500</v>
      </c>
      <c r="P705" s="77"/>
    </row>
    <row r="706" spans="1:16" s="22" customFormat="1" ht="22.5" customHeight="1" x14ac:dyDescent="0.35">
      <c r="A706" s="74"/>
      <c r="B706" s="79" t="s">
        <v>979</v>
      </c>
      <c r="C706" s="76" t="s">
        <v>980</v>
      </c>
      <c r="D706" s="77">
        <v>1</v>
      </c>
      <c r="E706" s="77">
        <v>8</v>
      </c>
      <c r="F706" s="77">
        <f>160+95</f>
        <v>255</v>
      </c>
      <c r="G706" s="77">
        <v>10000</v>
      </c>
      <c r="H706" s="77">
        <v>40000</v>
      </c>
      <c r="I706" s="77">
        <v>15</v>
      </c>
      <c r="J706" s="77"/>
      <c r="K706" s="77">
        <v>3</v>
      </c>
      <c r="L706" s="77"/>
      <c r="M706" s="77">
        <v>100000</v>
      </c>
      <c r="N706" s="77"/>
      <c r="O706" s="78">
        <v>2500</v>
      </c>
      <c r="P706" s="77"/>
    </row>
    <row r="707" spans="1:16" s="22" customFormat="1" ht="22.5" customHeight="1" x14ac:dyDescent="0.35">
      <c r="A707" s="74"/>
      <c r="B707" s="79" t="s">
        <v>981</v>
      </c>
      <c r="C707" s="76" t="s">
        <v>982</v>
      </c>
      <c r="D707" s="77">
        <v>1</v>
      </c>
      <c r="E707" s="77">
        <v>8</v>
      </c>
      <c r="F707" s="77">
        <v>106</v>
      </c>
      <c r="G707" s="77">
        <v>10000</v>
      </c>
      <c r="H707" s="77">
        <v>40000</v>
      </c>
      <c r="I707" s="77">
        <v>15</v>
      </c>
      <c r="J707" s="77"/>
      <c r="K707" s="77">
        <v>3</v>
      </c>
      <c r="L707" s="77"/>
      <c r="M707" s="77">
        <v>100000</v>
      </c>
      <c r="N707" s="77"/>
      <c r="O707" s="78">
        <v>2500</v>
      </c>
      <c r="P707" s="77"/>
    </row>
    <row r="708" spans="1:16" s="22" customFormat="1" ht="22.5" customHeight="1" x14ac:dyDescent="0.35">
      <c r="A708" s="74"/>
      <c r="B708" s="79" t="s">
        <v>983</v>
      </c>
      <c r="C708" s="76" t="s">
        <v>984</v>
      </c>
      <c r="D708" s="77">
        <v>1</v>
      </c>
      <c r="E708" s="77">
        <v>10</v>
      </c>
      <c r="F708" s="77">
        <v>594</v>
      </c>
      <c r="G708" s="77">
        <v>10000</v>
      </c>
      <c r="H708" s="77">
        <v>40000</v>
      </c>
      <c r="I708" s="77">
        <v>8</v>
      </c>
      <c r="J708" s="77"/>
      <c r="K708" s="77">
        <v>3</v>
      </c>
      <c r="L708" s="77"/>
      <c r="M708" s="77">
        <v>100000</v>
      </c>
      <c r="N708" s="77"/>
      <c r="O708" s="78">
        <v>2500</v>
      </c>
      <c r="P708" s="77"/>
    </row>
    <row r="709" spans="1:16" s="22" customFormat="1" ht="22.5" customHeight="1" x14ac:dyDescent="0.35">
      <c r="A709" s="74"/>
      <c r="B709" s="79" t="s">
        <v>985</v>
      </c>
      <c r="C709" s="76" t="s">
        <v>986</v>
      </c>
      <c r="D709" s="77"/>
      <c r="E709" s="77"/>
      <c r="F709" s="77"/>
      <c r="G709" s="77"/>
      <c r="H709" s="77"/>
      <c r="I709" s="77"/>
      <c r="J709" s="77"/>
      <c r="K709" s="77"/>
      <c r="L709" s="77"/>
      <c r="M709" s="77"/>
      <c r="N709" s="77"/>
      <c r="O709" s="78"/>
      <c r="P709" s="77"/>
    </row>
    <row r="710" spans="1:16" s="21" customFormat="1" ht="22.5" customHeight="1" x14ac:dyDescent="0.35">
      <c r="A710" s="80"/>
      <c r="B710" s="80" t="s">
        <v>88</v>
      </c>
      <c r="C710" s="81"/>
      <c r="D710" s="32"/>
      <c r="E710" s="32"/>
      <c r="F710" s="32"/>
      <c r="G710" s="33"/>
      <c r="H710" s="32"/>
      <c r="I710" s="32"/>
      <c r="J710" s="32"/>
      <c r="K710" s="32"/>
      <c r="L710" s="32"/>
      <c r="M710" s="32"/>
      <c r="N710" s="32"/>
      <c r="O710" s="32"/>
      <c r="P710" s="32"/>
    </row>
    <row r="711" spans="1:16" s="22" customFormat="1" ht="22.5" customHeight="1" x14ac:dyDescent="0.35">
      <c r="A711" s="74"/>
      <c r="B711" s="75" t="s">
        <v>174</v>
      </c>
      <c r="C711" s="68"/>
      <c r="D711" s="77">
        <v>12</v>
      </c>
      <c r="E711" s="77"/>
      <c r="F711" s="77"/>
      <c r="G711" s="78"/>
      <c r="H711" s="77"/>
      <c r="I711" s="77"/>
      <c r="J711" s="77"/>
      <c r="K711" s="77"/>
      <c r="L711" s="77"/>
      <c r="M711" s="77"/>
      <c r="N711" s="77"/>
      <c r="O711" s="78"/>
      <c r="P711" s="77"/>
    </row>
    <row r="712" spans="1:16" s="22" customFormat="1" ht="22.5" customHeight="1" x14ac:dyDescent="0.35">
      <c r="A712" s="74"/>
      <c r="B712" s="82" t="s">
        <v>987</v>
      </c>
      <c r="C712" s="76" t="s">
        <v>988</v>
      </c>
      <c r="D712" s="77">
        <v>1</v>
      </c>
      <c r="E712" s="77"/>
      <c r="F712" s="77"/>
      <c r="G712" s="78"/>
      <c r="H712" s="77"/>
      <c r="I712" s="77">
        <v>1</v>
      </c>
      <c r="J712" s="77"/>
      <c r="K712" s="77">
        <v>1</v>
      </c>
      <c r="L712" s="77"/>
      <c r="M712" s="77"/>
      <c r="N712" s="77"/>
      <c r="O712" s="78">
        <v>10000000</v>
      </c>
      <c r="P712" s="77"/>
    </row>
    <row r="713" spans="1:16" s="22" customFormat="1" ht="22.5" customHeight="1" x14ac:dyDescent="0.35">
      <c r="A713" s="74"/>
      <c r="B713" s="79" t="s">
        <v>989</v>
      </c>
      <c r="C713" s="76" t="s">
        <v>990</v>
      </c>
      <c r="D713" s="77">
        <v>1</v>
      </c>
      <c r="E713" s="77"/>
      <c r="F713" s="77"/>
      <c r="G713" s="78"/>
      <c r="H713" s="77"/>
      <c r="I713" s="77"/>
      <c r="J713" s="77"/>
      <c r="K713" s="77"/>
      <c r="L713" s="77"/>
      <c r="M713" s="77"/>
      <c r="N713" s="77"/>
      <c r="O713" s="78">
        <v>0</v>
      </c>
      <c r="P713" s="77"/>
    </row>
    <row r="714" spans="1:16" s="22" customFormat="1" ht="22.5" customHeight="1" x14ac:dyDescent="0.35">
      <c r="A714" s="74"/>
      <c r="B714" s="79" t="s">
        <v>991</v>
      </c>
      <c r="C714" s="76" t="s">
        <v>992</v>
      </c>
      <c r="D714" s="77">
        <v>1</v>
      </c>
      <c r="E714" s="77"/>
      <c r="F714" s="77"/>
      <c r="G714" s="78"/>
      <c r="H714" s="77"/>
      <c r="I714" s="77"/>
      <c r="J714" s="77"/>
      <c r="K714" s="77"/>
      <c r="L714" s="77"/>
      <c r="M714" s="77"/>
      <c r="N714" s="77"/>
      <c r="O714" s="78">
        <v>0</v>
      </c>
      <c r="P714" s="77"/>
    </row>
    <row r="715" spans="1:16" s="22" customFormat="1" ht="22.5" customHeight="1" x14ac:dyDescent="0.35">
      <c r="A715" s="74"/>
      <c r="B715" s="79" t="s">
        <v>993</v>
      </c>
      <c r="C715" s="76" t="s">
        <v>994</v>
      </c>
      <c r="D715" s="77"/>
      <c r="E715" s="77"/>
      <c r="F715" s="77"/>
      <c r="G715" s="78"/>
      <c r="H715" s="77"/>
      <c r="I715" s="77"/>
      <c r="J715" s="77"/>
      <c r="K715" s="77"/>
      <c r="L715" s="77"/>
      <c r="M715" s="77"/>
      <c r="N715" s="77"/>
      <c r="O715" s="78"/>
      <c r="P715" s="77"/>
    </row>
    <row r="716" spans="1:16" s="21" customFormat="1" ht="22.5" customHeight="1" x14ac:dyDescent="0.35">
      <c r="A716" s="80"/>
      <c r="B716" s="80" t="s">
        <v>89</v>
      </c>
      <c r="C716" s="81"/>
      <c r="D716" s="32"/>
      <c r="E716" s="32"/>
      <c r="F716" s="32"/>
      <c r="G716" s="33"/>
      <c r="H716" s="32"/>
      <c r="I716" s="32"/>
      <c r="J716" s="32"/>
      <c r="K716" s="32"/>
      <c r="L716" s="32"/>
      <c r="M716" s="32"/>
      <c r="N716" s="32"/>
      <c r="O716" s="32"/>
      <c r="P716" s="32"/>
    </row>
    <row r="717" spans="1:16" s="22" customFormat="1" ht="22.5" customHeight="1" x14ac:dyDescent="0.35">
      <c r="A717" s="74"/>
      <c r="B717" s="48" t="s">
        <v>175</v>
      </c>
      <c r="C717" s="68"/>
      <c r="D717" s="77">
        <v>1</v>
      </c>
      <c r="E717" s="77"/>
      <c r="F717" s="77"/>
      <c r="G717" s="78"/>
      <c r="H717" s="77"/>
      <c r="I717" s="77"/>
      <c r="J717" s="77"/>
      <c r="K717" s="77"/>
      <c r="L717" s="77"/>
      <c r="M717" s="77"/>
      <c r="N717" s="77"/>
      <c r="O717" s="78"/>
      <c r="P717" s="77"/>
    </row>
    <row r="718" spans="1:16" s="22" customFormat="1" ht="22.5" customHeight="1" x14ac:dyDescent="0.35">
      <c r="A718" s="74"/>
      <c r="B718" s="83" t="s">
        <v>995</v>
      </c>
      <c r="C718" s="76" t="s">
        <v>996</v>
      </c>
      <c r="D718" s="77">
        <v>1</v>
      </c>
      <c r="E718" s="77"/>
      <c r="F718" s="77"/>
      <c r="G718" s="78"/>
      <c r="H718" s="77"/>
      <c r="I718" s="77"/>
      <c r="J718" s="77"/>
      <c r="K718" s="77"/>
      <c r="L718" s="77"/>
      <c r="M718" s="77"/>
      <c r="N718" s="77"/>
      <c r="O718" s="78"/>
      <c r="P718" s="77"/>
    </row>
    <row r="719" spans="1:16" s="22" customFormat="1" ht="22.5" customHeight="1" x14ac:dyDescent="0.35">
      <c r="A719" s="74"/>
      <c r="B719" s="83" t="s">
        <v>997</v>
      </c>
      <c r="C719" s="76" t="s">
        <v>998</v>
      </c>
      <c r="D719" s="77">
        <v>1</v>
      </c>
      <c r="E719" s="77"/>
      <c r="F719" s="77"/>
      <c r="G719" s="78"/>
      <c r="H719" s="77"/>
      <c r="I719" s="77"/>
      <c r="J719" s="77"/>
      <c r="K719" s="77"/>
      <c r="L719" s="77"/>
      <c r="M719" s="77"/>
      <c r="N719" s="77"/>
      <c r="O719" s="78"/>
      <c r="P719" s="77"/>
    </row>
    <row r="720" spans="1:16" s="22" customFormat="1" ht="22.5" customHeight="1" x14ac:dyDescent="0.35">
      <c r="A720" s="74"/>
      <c r="B720" s="83" t="s">
        <v>999</v>
      </c>
      <c r="C720" s="76" t="s">
        <v>1000</v>
      </c>
      <c r="D720" s="77">
        <v>1</v>
      </c>
      <c r="E720" s="77"/>
      <c r="F720" s="77"/>
      <c r="G720" s="78"/>
      <c r="H720" s="77"/>
      <c r="I720" s="77"/>
      <c r="J720" s="77"/>
      <c r="K720" s="77"/>
      <c r="L720" s="77"/>
      <c r="M720" s="77"/>
      <c r="N720" s="77"/>
      <c r="O720" s="78"/>
      <c r="P720" s="77"/>
    </row>
    <row r="721" spans="1:16" s="22" customFormat="1" ht="22.5" customHeight="1" x14ac:dyDescent="0.35">
      <c r="A721" s="74"/>
      <c r="B721" s="83" t="s">
        <v>1001</v>
      </c>
      <c r="C721" s="76" t="s">
        <v>1002</v>
      </c>
      <c r="D721" s="77">
        <v>1</v>
      </c>
      <c r="E721" s="77">
        <v>8</v>
      </c>
      <c r="F721" s="77">
        <v>400</v>
      </c>
      <c r="G721" s="78">
        <v>40000</v>
      </c>
      <c r="H721" s="77">
        <v>25000</v>
      </c>
      <c r="I721" s="77">
        <v>15</v>
      </c>
      <c r="J721" s="77"/>
      <c r="K721" s="77">
        <v>5</v>
      </c>
      <c r="L721" s="77"/>
      <c r="M721" s="77">
        <v>100000</v>
      </c>
      <c r="N721" s="77"/>
      <c r="O721" s="78">
        <v>2500</v>
      </c>
      <c r="P721" s="77"/>
    </row>
    <row r="722" spans="1:16" s="22" customFormat="1" ht="22.5" customHeight="1" x14ac:dyDescent="0.35">
      <c r="A722" s="74"/>
      <c r="B722" s="83" t="s">
        <v>1003</v>
      </c>
      <c r="C722" s="76" t="s">
        <v>1004</v>
      </c>
      <c r="D722" s="77">
        <v>1</v>
      </c>
      <c r="E722" s="77"/>
      <c r="F722" s="77"/>
      <c r="G722" s="78"/>
      <c r="H722" s="77"/>
      <c r="I722" s="77"/>
      <c r="J722" s="77"/>
      <c r="K722" s="77"/>
      <c r="L722" s="77"/>
      <c r="M722" s="77"/>
      <c r="N722" s="77"/>
      <c r="O722" s="78"/>
      <c r="P722" s="77"/>
    </row>
    <row r="723" spans="1:16" s="22" customFormat="1" ht="22.5" customHeight="1" x14ac:dyDescent="0.35">
      <c r="A723" s="74"/>
      <c r="B723" s="83" t="s">
        <v>1005</v>
      </c>
      <c r="C723" s="76" t="s">
        <v>1006</v>
      </c>
      <c r="D723" s="77"/>
      <c r="E723" s="77"/>
      <c r="F723" s="77"/>
      <c r="G723" s="78"/>
      <c r="H723" s="77"/>
      <c r="I723" s="77"/>
      <c r="J723" s="77"/>
      <c r="K723" s="77"/>
      <c r="L723" s="77"/>
      <c r="M723" s="77"/>
      <c r="N723" s="77"/>
      <c r="O723" s="78"/>
      <c r="P723" s="77"/>
    </row>
    <row r="724" spans="1:16" s="22" customFormat="1" ht="22.5" customHeight="1" x14ac:dyDescent="0.35">
      <c r="A724" s="74"/>
      <c r="B724" s="84" t="s">
        <v>176</v>
      </c>
      <c r="C724" s="85"/>
      <c r="D724" s="77">
        <v>1</v>
      </c>
      <c r="E724" s="77"/>
      <c r="F724" s="77"/>
      <c r="G724" s="78"/>
      <c r="H724" s="77"/>
      <c r="I724" s="77"/>
      <c r="J724" s="77"/>
      <c r="K724" s="77"/>
      <c r="L724" s="77"/>
      <c r="M724" s="77"/>
      <c r="N724" s="77"/>
      <c r="O724" s="78"/>
      <c r="P724" s="77"/>
    </row>
    <row r="725" spans="1:16" s="22" customFormat="1" ht="22.5" customHeight="1" x14ac:dyDescent="0.35">
      <c r="A725" s="74"/>
      <c r="B725" s="82" t="s">
        <v>1007</v>
      </c>
      <c r="C725" s="76" t="s">
        <v>1008</v>
      </c>
      <c r="D725" s="77">
        <v>12</v>
      </c>
      <c r="E725" s="77"/>
      <c r="F725" s="77"/>
      <c r="G725" s="78"/>
      <c r="H725" s="77"/>
      <c r="I725" s="77"/>
      <c r="J725" s="77"/>
      <c r="K725" s="77"/>
      <c r="L725" s="77"/>
      <c r="M725" s="77"/>
      <c r="N725" s="77"/>
      <c r="O725" s="78"/>
      <c r="P725" s="77"/>
    </row>
    <row r="726" spans="1:16" s="22" customFormat="1" ht="22.5" customHeight="1" x14ac:dyDescent="0.35">
      <c r="A726" s="74"/>
      <c r="B726" s="82" t="s">
        <v>1009</v>
      </c>
      <c r="C726" s="76" t="s">
        <v>1010</v>
      </c>
      <c r="D726" s="77">
        <v>2</v>
      </c>
      <c r="E726" s="77"/>
      <c r="F726" s="77"/>
      <c r="G726" s="78"/>
      <c r="H726" s="77"/>
      <c r="I726" s="77"/>
      <c r="J726" s="77"/>
      <c r="K726" s="77"/>
      <c r="L726" s="77"/>
      <c r="M726" s="77"/>
      <c r="N726" s="77"/>
      <c r="O726" s="78"/>
      <c r="P726" s="77"/>
    </row>
    <row r="727" spans="1:16" s="22" customFormat="1" ht="22.5" customHeight="1" x14ac:dyDescent="0.35">
      <c r="A727" s="74"/>
      <c r="B727" s="82" t="s">
        <v>1011</v>
      </c>
      <c r="C727" s="76" t="s">
        <v>1012</v>
      </c>
      <c r="D727" s="77">
        <v>1</v>
      </c>
      <c r="E727" s="77"/>
      <c r="F727" s="77"/>
      <c r="G727" s="78"/>
      <c r="H727" s="77"/>
      <c r="I727" s="77"/>
      <c r="J727" s="77"/>
      <c r="K727" s="77"/>
      <c r="L727" s="77"/>
      <c r="M727" s="77"/>
      <c r="N727" s="77"/>
      <c r="O727" s="78"/>
      <c r="P727" s="77"/>
    </row>
    <row r="728" spans="1:16" s="22" customFormat="1" ht="22.5" customHeight="1" x14ac:dyDescent="0.35">
      <c r="A728" s="74"/>
      <c r="B728" s="82" t="s">
        <v>1013</v>
      </c>
      <c r="C728" s="76" t="s">
        <v>1014</v>
      </c>
      <c r="D728" s="77">
        <v>4</v>
      </c>
      <c r="E728" s="77"/>
      <c r="F728" s="77">
        <v>20</v>
      </c>
      <c r="G728" s="78">
        <v>10000</v>
      </c>
      <c r="H728" s="77"/>
      <c r="I728" s="77">
        <v>4</v>
      </c>
      <c r="J728" s="77"/>
      <c r="K728" s="77">
        <v>3</v>
      </c>
      <c r="L728" s="77"/>
      <c r="M728" s="77"/>
      <c r="N728" s="77"/>
      <c r="O728" s="78">
        <v>2500</v>
      </c>
      <c r="P728" s="77">
        <v>15000</v>
      </c>
    </row>
    <row r="729" spans="1:16" s="22" customFormat="1" ht="22.5" customHeight="1" x14ac:dyDescent="0.35">
      <c r="A729" s="74"/>
      <c r="B729" s="82" t="s">
        <v>1015</v>
      </c>
      <c r="C729" s="76" t="s">
        <v>1016</v>
      </c>
      <c r="D729" s="77"/>
      <c r="E729" s="77"/>
      <c r="F729" s="77"/>
      <c r="G729" s="78"/>
      <c r="H729" s="77"/>
      <c r="I729" s="77"/>
      <c r="J729" s="77"/>
      <c r="K729" s="77"/>
      <c r="L729" s="77"/>
      <c r="M729" s="77"/>
      <c r="N729" s="77"/>
      <c r="O729" s="78"/>
      <c r="P729" s="77"/>
    </row>
    <row r="730" spans="1:16" s="22" customFormat="1" ht="22.5" customHeight="1" x14ac:dyDescent="0.35">
      <c r="A730" s="74"/>
      <c r="B730" s="75" t="s">
        <v>177</v>
      </c>
      <c r="C730" s="68"/>
      <c r="D730" s="77"/>
      <c r="E730" s="77"/>
      <c r="F730" s="77"/>
      <c r="G730" s="78"/>
      <c r="H730" s="77"/>
      <c r="I730" s="77"/>
      <c r="J730" s="77"/>
      <c r="K730" s="77"/>
      <c r="L730" s="77"/>
      <c r="M730" s="77"/>
      <c r="N730" s="77"/>
      <c r="O730" s="78"/>
      <c r="P730" s="77"/>
    </row>
    <row r="731" spans="1:16" s="22" customFormat="1" ht="22.5" customHeight="1" x14ac:dyDescent="0.35">
      <c r="A731" s="74"/>
      <c r="B731" s="79" t="s">
        <v>1017</v>
      </c>
      <c r="C731" s="76" t="s">
        <v>1018</v>
      </c>
      <c r="D731" s="77">
        <v>1</v>
      </c>
      <c r="E731" s="77"/>
      <c r="F731" s="77"/>
      <c r="G731" s="78"/>
      <c r="H731" s="77"/>
      <c r="I731" s="77">
        <v>114</v>
      </c>
      <c r="J731" s="77"/>
      <c r="K731" s="77">
        <v>5</v>
      </c>
      <c r="L731" s="77"/>
      <c r="M731" s="77">
        <v>100000</v>
      </c>
      <c r="N731" s="77"/>
      <c r="O731" s="78">
        <v>2500</v>
      </c>
      <c r="P731" s="77"/>
    </row>
    <row r="732" spans="1:16" s="22" customFormat="1" ht="22.5" customHeight="1" x14ac:dyDescent="0.35">
      <c r="A732" s="74"/>
      <c r="B732" s="79" t="s">
        <v>1019</v>
      </c>
      <c r="C732" s="76" t="s">
        <v>1020</v>
      </c>
      <c r="D732" s="77"/>
      <c r="E732" s="77"/>
      <c r="F732" s="77"/>
      <c r="G732" s="78"/>
      <c r="H732" s="77"/>
      <c r="I732" s="77"/>
      <c r="J732" s="77"/>
      <c r="K732" s="77"/>
      <c r="L732" s="77"/>
      <c r="M732" s="77"/>
      <c r="N732" s="77"/>
      <c r="O732" s="78"/>
      <c r="P732" s="77"/>
    </row>
    <row r="733" spans="1:16" s="22" customFormat="1" ht="22.5" customHeight="1" x14ac:dyDescent="0.35">
      <c r="A733" s="80"/>
      <c r="B733" s="80" t="s">
        <v>91</v>
      </c>
      <c r="C733" s="81"/>
      <c r="D733" s="32"/>
      <c r="E733" s="32"/>
      <c r="F733" s="32"/>
      <c r="G733" s="33"/>
      <c r="H733" s="32"/>
      <c r="I733" s="32"/>
      <c r="J733" s="32"/>
      <c r="K733" s="32"/>
      <c r="L733" s="32"/>
      <c r="M733" s="32"/>
      <c r="N733" s="32"/>
      <c r="O733" s="32"/>
      <c r="P733" s="32"/>
    </row>
    <row r="734" spans="1:16" s="22" customFormat="1" ht="22.5" customHeight="1" x14ac:dyDescent="0.35">
      <c r="A734" s="74"/>
      <c r="B734" s="75" t="s">
        <v>178</v>
      </c>
      <c r="C734" s="76"/>
      <c r="D734" s="77"/>
      <c r="E734" s="77"/>
      <c r="F734" s="77"/>
      <c r="G734" s="78"/>
      <c r="H734" s="77"/>
      <c r="I734" s="77"/>
      <c r="J734" s="77"/>
      <c r="K734" s="77"/>
      <c r="L734" s="77"/>
      <c r="M734" s="77"/>
      <c r="N734" s="77"/>
      <c r="O734" s="78"/>
      <c r="P734" s="77"/>
    </row>
    <row r="735" spans="1:16" s="22" customFormat="1" ht="22.5" customHeight="1" x14ac:dyDescent="0.35">
      <c r="A735" s="74"/>
      <c r="B735" s="79" t="s">
        <v>1021</v>
      </c>
      <c r="C735" s="76" t="s">
        <v>1022</v>
      </c>
      <c r="D735" s="77">
        <v>4</v>
      </c>
      <c r="E735" s="77"/>
      <c r="F735" s="77"/>
      <c r="G735" s="78"/>
      <c r="H735" s="77"/>
      <c r="I735" s="77">
        <v>3</v>
      </c>
      <c r="J735" s="77"/>
      <c r="K735" s="77">
        <v>10</v>
      </c>
      <c r="L735" s="77"/>
      <c r="M735" s="77"/>
      <c r="N735" s="77"/>
      <c r="O735" s="78"/>
      <c r="P735" s="77"/>
    </row>
    <row r="736" spans="1:16" s="22" customFormat="1" ht="22.5" customHeight="1" x14ac:dyDescent="0.35">
      <c r="A736" s="74"/>
      <c r="B736" s="79" t="s">
        <v>1023</v>
      </c>
      <c r="C736" s="76" t="s">
        <v>1024</v>
      </c>
      <c r="D736" s="77">
        <v>4</v>
      </c>
      <c r="E736" s="77"/>
      <c r="F736" s="77"/>
      <c r="G736" s="78"/>
      <c r="H736" s="77"/>
      <c r="I736" s="77">
        <v>1</v>
      </c>
      <c r="J736" s="77"/>
      <c r="K736" s="77">
        <v>1</v>
      </c>
      <c r="L736" s="77"/>
      <c r="M736" s="77"/>
      <c r="N736" s="77"/>
      <c r="O736" s="78">
        <v>5000000</v>
      </c>
      <c r="P736" s="77"/>
    </row>
    <row r="737" spans="1:16" s="22" customFormat="1" ht="22.5" customHeight="1" x14ac:dyDescent="0.35">
      <c r="A737" s="74"/>
      <c r="B737" s="79" t="s">
        <v>1025</v>
      </c>
      <c r="C737" s="76" t="s">
        <v>1026</v>
      </c>
      <c r="D737" s="77">
        <v>12</v>
      </c>
      <c r="E737" s="77"/>
      <c r="F737" s="77">
        <v>96</v>
      </c>
      <c r="G737" s="78"/>
      <c r="H737" s="77"/>
      <c r="I737" s="77"/>
      <c r="J737" s="77"/>
      <c r="K737" s="77"/>
      <c r="L737" s="77"/>
      <c r="M737" s="77"/>
      <c r="N737" s="77"/>
      <c r="O737" s="78">
        <v>10000</v>
      </c>
      <c r="P737" s="77"/>
    </row>
    <row r="738" spans="1:16" s="22" customFormat="1" ht="22.5" customHeight="1" x14ac:dyDescent="0.35">
      <c r="A738" s="74"/>
      <c r="B738" s="79" t="s">
        <v>1027</v>
      </c>
      <c r="C738" s="76" t="s">
        <v>1028</v>
      </c>
      <c r="D738" s="77">
        <v>12</v>
      </c>
      <c r="E738" s="77"/>
      <c r="F738" s="77"/>
      <c r="G738" s="78"/>
      <c r="H738" s="77"/>
      <c r="I738" s="77"/>
      <c r="J738" s="77"/>
      <c r="K738" s="77"/>
      <c r="L738" s="77"/>
      <c r="M738" s="77"/>
      <c r="N738" s="77"/>
      <c r="O738" s="78"/>
      <c r="P738" s="77"/>
    </row>
    <row r="739" spans="1:16" s="22" customFormat="1" ht="22.5" customHeight="1" x14ac:dyDescent="0.35">
      <c r="A739" s="74"/>
      <c r="B739" s="79" t="s">
        <v>1029</v>
      </c>
      <c r="C739" s="76" t="s">
        <v>1030</v>
      </c>
      <c r="D739" s="77">
        <v>12</v>
      </c>
      <c r="E739" s="77"/>
      <c r="F739" s="77"/>
      <c r="G739" s="78"/>
      <c r="H739" s="77"/>
      <c r="I739" s="77"/>
      <c r="J739" s="77"/>
      <c r="K739" s="77"/>
      <c r="L739" s="77"/>
      <c r="M739" s="77"/>
      <c r="N739" s="77"/>
      <c r="O739" s="78"/>
      <c r="P739" s="77"/>
    </row>
    <row r="740" spans="1:16" s="22" customFormat="1" ht="22.5" customHeight="1" x14ac:dyDescent="0.3">
      <c r="A740" s="74"/>
      <c r="B740" s="79" t="s">
        <v>1031</v>
      </c>
      <c r="C740" s="76" t="s">
        <v>1032</v>
      </c>
      <c r="D740" s="86">
        <v>12</v>
      </c>
      <c r="E740" s="77"/>
      <c r="F740" s="77"/>
      <c r="G740" s="78"/>
      <c r="H740" s="77"/>
      <c r="I740" s="77"/>
      <c r="J740" s="77"/>
      <c r="K740" s="77"/>
      <c r="L740" s="77"/>
      <c r="M740" s="77"/>
      <c r="N740" s="77"/>
      <c r="O740" s="78"/>
      <c r="P740" s="77"/>
    </row>
    <row r="741" spans="1:16" s="22" customFormat="1" ht="22.5" customHeight="1" x14ac:dyDescent="0.3">
      <c r="A741" s="74"/>
      <c r="B741" s="79" t="s">
        <v>1033</v>
      </c>
      <c r="C741" s="76" t="s">
        <v>1034</v>
      </c>
      <c r="D741" s="86">
        <v>12</v>
      </c>
      <c r="E741" s="77"/>
      <c r="F741" s="77"/>
      <c r="G741" s="78"/>
      <c r="H741" s="77"/>
      <c r="I741" s="77"/>
      <c r="J741" s="77"/>
      <c r="K741" s="77"/>
      <c r="L741" s="77"/>
      <c r="M741" s="77"/>
      <c r="N741" s="77"/>
      <c r="O741" s="78"/>
      <c r="P741" s="77"/>
    </row>
    <row r="742" spans="1:16" s="22" customFormat="1" ht="22.5" customHeight="1" x14ac:dyDescent="0.3">
      <c r="A742" s="74"/>
      <c r="B742" s="79" t="s">
        <v>1035</v>
      </c>
      <c r="C742" s="76" t="s">
        <v>1036</v>
      </c>
      <c r="D742" s="23">
        <v>12</v>
      </c>
      <c r="E742" s="77"/>
      <c r="F742" s="77"/>
      <c r="G742" s="78"/>
      <c r="H742" s="77"/>
      <c r="I742" s="77"/>
      <c r="J742" s="77"/>
      <c r="K742" s="77"/>
      <c r="L742" s="77"/>
      <c r="M742" s="77"/>
      <c r="N742" s="77"/>
      <c r="O742" s="78"/>
      <c r="P742" s="77"/>
    </row>
    <row r="743" spans="1:16" s="22" customFormat="1" ht="22.5" customHeight="1" x14ac:dyDescent="0.3">
      <c r="A743" s="74"/>
      <c r="B743" s="79" t="s">
        <v>1037</v>
      </c>
      <c r="C743" s="76" t="s">
        <v>1038</v>
      </c>
      <c r="D743" s="23"/>
      <c r="E743" s="77"/>
      <c r="F743" s="77"/>
      <c r="G743" s="78"/>
      <c r="H743" s="77"/>
      <c r="I743" s="77"/>
      <c r="J743" s="77"/>
      <c r="K743" s="77"/>
      <c r="L743" s="77"/>
      <c r="M743" s="77"/>
      <c r="N743" s="77"/>
      <c r="O743" s="78"/>
      <c r="P743" s="77"/>
    </row>
    <row r="744" spans="1:16" s="22" customFormat="1" ht="22.5" customHeight="1" x14ac:dyDescent="0.35">
      <c r="A744" s="80"/>
      <c r="B744" s="80" t="s">
        <v>93</v>
      </c>
      <c r="C744" s="81"/>
      <c r="D744" s="32"/>
      <c r="E744" s="32"/>
      <c r="F744" s="32"/>
      <c r="G744" s="33"/>
      <c r="H744" s="32"/>
      <c r="I744" s="32"/>
      <c r="J744" s="32"/>
      <c r="K744" s="32"/>
      <c r="L744" s="32"/>
      <c r="M744" s="32"/>
      <c r="N744" s="32"/>
      <c r="O744" s="32"/>
      <c r="P744" s="32"/>
    </row>
    <row r="745" spans="1:16" s="22" customFormat="1" ht="22.5" customHeight="1" x14ac:dyDescent="0.35">
      <c r="A745" s="74"/>
      <c r="B745" s="75" t="s">
        <v>179</v>
      </c>
      <c r="C745" s="77"/>
      <c r="D745" s="77">
        <v>12</v>
      </c>
      <c r="E745" s="77"/>
      <c r="F745" s="77"/>
      <c r="G745" s="78"/>
      <c r="H745" s="77"/>
      <c r="I745" s="77"/>
      <c r="J745" s="77"/>
      <c r="K745" s="77"/>
      <c r="L745" s="77"/>
      <c r="M745" s="77"/>
      <c r="N745" s="77"/>
      <c r="O745" s="78"/>
      <c r="P745" s="77"/>
    </row>
    <row r="746" spans="1:16" s="22" customFormat="1" ht="22.5" customHeight="1" x14ac:dyDescent="0.35">
      <c r="A746" s="74"/>
      <c r="B746" s="79" t="s">
        <v>1039</v>
      </c>
      <c r="C746" s="76" t="s">
        <v>1040</v>
      </c>
      <c r="D746" s="77">
        <v>12</v>
      </c>
      <c r="E746" s="77"/>
      <c r="F746" s="77"/>
      <c r="G746" s="78"/>
      <c r="H746" s="77"/>
      <c r="I746" s="77"/>
      <c r="J746" s="77"/>
      <c r="K746" s="77"/>
      <c r="L746" s="77"/>
      <c r="M746" s="77"/>
      <c r="N746" s="77"/>
      <c r="O746" s="78"/>
      <c r="P746" s="77"/>
    </row>
    <row r="747" spans="1:16" s="22" customFormat="1" ht="22.5" customHeight="1" x14ac:dyDescent="0.35">
      <c r="A747" s="74"/>
      <c r="B747" s="79" t="s">
        <v>1041</v>
      </c>
      <c r="C747" s="76" t="s">
        <v>1042</v>
      </c>
      <c r="D747" s="77">
        <v>12</v>
      </c>
      <c r="E747" s="77"/>
      <c r="F747" s="77"/>
      <c r="G747" s="78"/>
      <c r="H747" s="77"/>
      <c r="I747" s="77"/>
      <c r="J747" s="77"/>
      <c r="K747" s="77"/>
      <c r="L747" s="77"/>
      <c r="M747" s="77"/>
      <c r="N747" s="77"/>
      <c r="O747" s="78"/>
      <c r="P747" s="77"/>
    </row>
    <row r="748" spans="1:16" s="22" customFormat="1" ht="22.5" customHeight="1" x14ac:dyDescent="0.35">
      <c r="A748" s="74"/>
      <c r="B748" s="79" t="s">
        <v>1043</v>
      </c>
      <c r="C748" s="76" t="s">
        <v>1044</v>
      </c>
      <c r="D748" s="77">
        <v>12</v>
      </c>
      <c r="E748" s="77"/>
      <c r="F748" s="77"/>
      <c r="G748" s="78"/>
      <c r="H748" s="77"/>
      <c r="I748" s="77"/>
      <c r="J748" s="77"/>
      <c r="K748" s="77"/>
      <c r="L748" s="77"/>
      <c r="M748" s="77"/>
      <c r="N748" s="77"/>
      <c r="O748" s="78"/>
      <c r="P748" s="77"/>
    </row>
    <row r="749" spans="1:16" s="22" customFormat="1" ht="22.5" customHeight="1" x14ac:dyDescent="0.35">
      <c r="A749" s="74"/>
      <c r="B749" s="79" t="s">
        <v>1045</v>
      </c>
      <c r="C749" s="76" t="s">
        <v>1046</v>
      </c>
      <c r="D749" s="77"/>
      <c r="E749" s="77"/>
      <c r="F749" s="77"/>
      <c r="G749" s="78"/>
      <c r="H749" s="77"/>
      <c r="I749" s="77"/>
      <c r="J749" s="77"/>
      <c r="K749" s="77"/>
      <c r="L749" s="77"/>
      <c r="M749" s="77"/>
      <c r="N749" s="77"/>
      <c r="O749" s="78"/>
      <c r="P749" s="77"/>
    </row>
    <row r="750" spans="1:16" s="22" customFormat="1" ht="22.5" customHeight="1" x14ac:dyDescent="0.35">
      <c r="A750" s="74"/>
      <c r="B750" s="75" t="s">
        <v>180</v>
      </c>
      <c r="C750" s="76"/>
      <c r="D750" s="77">
        <v>4</v>
      </c>
      <c r="E750" s="77"/>
      <c r="F750" s="77"/>
      <c r="G750" s="78"/>
      <c r="H750" s="77"/>
      <c r="I750" s="77">
        <v>14</v>
      </c>
      <c r="J750" s="77"/>
      <c r="K750" s="77">
        <v>5</v>
      </c>
      <c r="L750" s="77"/>
      <c r="M750" s="77">
        <v>200000</v>
      </c>
      <c r="N750" s="77"/>
      <c r="O750" s="78"/>
      <c r="P750" s="77"/>
    </row>
    <row r="751" spans="1:16" s="22" customFormat="1" ht="22.5" customHeight="1" x14ac:dyDescent="0.35">
      <c r="A751" s="74"/>
      <c r="B751" s="79" t="s">
        <v>1047</v>
      </c>
      <c r="C751" s="76" t="s">
        <v>1048</v>
      </c>
      <c r="D751" s="77">
        <v>4</v>
      </c>
      <c r="E751" s="77"/>
      <c r="F751" s="77"/>
      <c r="G751" s="78"/>
      <c r="H751" s="77"/>
      <c r="I751" s="77"/>
      <c r="J751" s="77"/>
      <c r="K751" s="77"/>
      <c r="L751" s="77"/>
      <c r="M751" s="77"/>
      <c r="N751" s="77"/>
      <c r="O751" s="78"/>
      <c r="P751" s="77"/>
    </row>
    <row r="752" spans="1:16" s="22" customFormat="1" ht="22.5" customHeight="1" x14ac:dyDescent="0.35">
      <c r="A752" s="74"/>
      <c r="B752" s="79" t="s">
        <v>1049</v>
      </c>
      <c r="C752" s="76" t="s">
        <v>1050</v>
      </c>
      <c r="D752" s="77"/>
      <c r="E752" s="77"/>
      <c r="F752" s="77"/>
      <c r="G752" s="78"/>
      <c r="H752" s="77"/>
      <c r="I752" s="77"/>
      <c r="J752" s="77"/>
      <c r="K752" s="77"/>
      <c r="L752" s="77"/>
      <c r="M752" s="77"/>
      <c r="N752" s="77"/>
      <c r="O752" s="78"/>
      <c r="P752" s="77"/>
    </row>
    <row r="753" spans="1:16" s="22" customFormat="1" ht="22.5" customHeight="1" x14ac:dyDescent="0.35">
      <c r="A753" s="80"/>
      <c r="B753" s="80" t="s">
        <v>94</v>
      </c>
      <c r="C753" s="81"/>
      <c r="D753" s="32"/>
      <c r="E753" s="32"/>
      <c r="F753" s="32"/>
      <c r="G753" s="33"/>
      <c r="H753" s="32"/>
      <c r="I753" s="32"/>
      <c r="J753" s="32"/>
      <c r="K753" s="32"/>
      <c r="L753" s="32"/>
      <c r="M753" s="32"/>
      <c r="N753" s="32"/>
      <c r="O753" s="32"/>
      <c r="P753" s="32"/>
    </row>
    <row r="754" spans="1:16" s="22" customFormat="1" ht="22.5" customHeight="1" x14ac:dyDescent="0.35">
      <c r="A754" s="87"/>
      <c r="B754" s="48" t="s">
        <v>181</v>
      </c>
      <c r="C754" s="77"/>
      <c r="D754" s="77">
        <v>4</v>
      </c>
      <c r="E754" s="77"/>
      <c r="F754" s="77"/>
      <c r="G754" s="78"/>
      <c r="H754" s="77"/>
      <c r="I754" s="77"/>
      <c r="J754" s="77"/>
      <c r="K754" s="77"/>
      <c r="L754" s="77"/>
      <c r="M754" s="77"/>
      <c r="N754" s="77"/>
      <c r="O754" s="78"/>
      <c r="P754" s="77"/>
    </row>
    <row r="755" spans="1:16" s="22" customFormat="1" ht="22.5" customHeight="1" x14ac:dyDescent="0.35">
      <c r="A755" s="87"/>
      <c r="B755" s="79" t="s">
        <v>1051</v>
      </c>
      <c r="C755" s="76" t="s">
        <v>1052</v>
      </c>
      <c r="D755" s="77">
        <f>4*12</f>
        <v>48</v>
      </c>
      <c r="E755" s="77"/>
      <c r="F755" s="77">
        <f>10*96</f>
        <v>960</v>
      </c>
      <c r="G755" s="78"/>
      <c r="H755" s="77"/>
      <c r="I755" s="77"/>
      <c r="J755" s="77"/>
      <c r="K755" s="77"/>
      <c r="L755" s="77"/>
      <c r="M755" s="77"/>
      <c r="N755" s="77"/>
      <c r="O755" s="78"/>
      <c r="P755" s="77">
        <v>2500</v>
      </c>
    </row>
    <row r="756" spans="1:16" s="22" customFormat="1" ht="22.5" customHeight="1" x14ac:dyDescent="0.35">
      <c r="A756" s="87"/>
      <c r="B756" s="79" t="s">
        <v>1053</v>
      </c>
      <c r="C756" s="76" t="s">
        <v>1054</v>
      </c>
      <c r="D756" s="77"/>
      <c r="E756" s="77"/>
      <c r="F756" s="77"/>
      <c r="G756" s="78"/>
      <c r="H756" s="77"/>
      <c r="I756" s="77"/>
      <c r="J756" s="77"/>
      <c r="K756" s="77"/>
      <c r="L756" s="77"/>
      <c r="M756" s="77"/>
      <c r="N756" s="77"/>
      <c r="O756" s="78"/>
      <c r="P756" s="77"/>
    </row>
    <row r="757" spans="1:16" s="22" customFormat="1" ht="22.5" customHeight="1" x14ac:dyDescent="0.35">
      <c r="A757" s="87"/>
      <c r="B757" s="88" t="s">
        <v>1055</v>
      </c>
      <c r="C757" s="76" t="s">
        <v>1056</v>
      </c>
      <c r="D757" s="77">
        <v>12</v>
      </c>
      <c r="E757" s="77"/>
      <c r="F757" s="77"/>
      <c r="G757" s="78"/>
      <c r="H757" s="77"/>
      <c r="I757" s="77">
        <v>15</v>
      </c>
      <c r="J757" s="77"/>
      <c r="K757" s="77">
        <v>1</v>
      </c>
      <c r="L757" s="77"/>
      <c r="M757" s="77"/>
      <c r="N757" s="77"/>
      <c r="O757" s="78"/>
      <c r="P757" s="77"/>
    </row>
    <row r="758" spans="1:16" s="22" customFormat="1" ht="22.5" customHeight="1" x14ac:dyDescent="0.35">
      <c r="A758" s="87"/>
      <c r="B758" s="88" t="s">
        <v>1057</v>
      </c>
      <c r="C758" s="76" t="s">
        <v>1058</v>
      </c>
      <c r="D758" s="77"/>
      <c r="E758" s="77"/>
      <c r="F758" s="77"/>
      <c r="G758" s="78"/>
      <c r="H758" s="77"/>
      <c r="I758" s="77"/>
      <c r="J758" s="77"/>
      <c r="K758" s="77"/>
      <c r="L758" s="77"/>
      <c r="M758" s="77"/>
      <c r="N758" s="77"/>
      <c r="O758" s="78"/>
      <c r="P758" s="77"/>
    </row>
    <row r="759" spans="1:16" s="22" customFormat="1" ht="22.5" customHeight="1" x14ac:dyDescent="0.35">
      <c r="A759" s="87"/>
      <c r="B759" s="82" t="s">
        <v>1059</v>
      </c>
      <c r="C759" s="76" t="s">
        <v>1060</v>
      </c>
      <c r="D759" s="77"/>
      <c r="E759" s="77"/>
      <c r="F759" s="77"/>
      <c r="G759" s="78"/>
      <c r="H759" s="77"/>
      <c r="I759" s="77"/>
      <c r="J759" s="77"/>
      <c r="K759" s="77"/>
      <c r="L759" s="77"/>
      <c r="M759" s="77"/>
      <c r="N759" s="77"/>
      <c r="O759" s="78"/>
      <c r="P759" s="77"/>
    </row>
    <row r="760" spans="1:16" s="22" customFormat="1" ht="22.5" customHeight="1" x14ac:dyDescent="0.35">
      <c r="A760" s="87"/>
      <c r="B760" s="48" t="s">
        <v>182</v>
      </c>
      <c r="C760" s="68"/>
      <c r="D760" s="77"/>
      <c r="E760" s="77"/>
      <c r="F760" s="77"/>
      <c r="G760" s="78"/>
      <c r="H760" s="77"/>
      <c r="I760" s="77"/>
      <c r="J760" s="77"/>
      <c r="K760" s="77"/>
      <c r="L760" s="77"/>
      <c r="M760" s="77"/>
      <c r="N760" s="77"/>
      <c r="O760" s="78"/>
      <c r="P760" s="77"/>
    </row>
    <row r="761" spans="1:16" s="22" customFormat="1" ht="22.5" customHeight="1" x14ac:dyDescent="0.35">
      <c r="A761" s="87"/>
      <c r="B761" s="82" t="s">
        <v>1061</v>
      </c>
      <c r="C761" s="76" t="s">
        <v>1062</v>
      </c>
      <c r="D761" s="77"/>
      <c r="E761" s="77"/>
      <c r="F761" s="77"/>
      <c r="G761" s="78"/>
      <c r="H761" s="77"/>
      <c r="I761" s="77"/>
      <c r="J761" s="77"/>
      <c r="K761" s="77"/>
      <c r="L761" s="77"/>
      <c r="M761" s="77"/>
      <c r="N761" s="77"/>
      <c r="O761" s="78"/>
      <c r="P761" s="77"/>
    </row>
    <row r="762" spans="1:16" s="22" customFormat="1" ht="22.5" customHeight="1" x14ac:dyDescent="0.35">
      <c r="A762" s="87"/>
      <c r="B762" s="82" t="s">
        <v>1063</v>
      </c>
      <c r="C762" s="76" t="s">
        <v>1064</v>
      </c>
      <c r="D762" s="77"/>
      <c r="E762" s="77"/>
      <c r="F762" s="77"/>
      <c r="G762" s="78"/>
      <c r="H762" s="77"/>
      <c r="I762" s="77"/>
      <c r="J762" s="77"/>
      <c r="K762" s="77"/>
      <c r="L762" s="77"/>
      <c r="M762" s="77"/>
      <c r="N762" s="77"/>
      <c r="O762" s="78"/>
      <c r="P762" s="77"/>
    </row>
    <row r="763" spans="1:16" s="22" customFormat="1" ht="22.5" customHeight="1" x14ac:dyDescent="0.35">
      <c r="A763" s="87"/>
      <c r="B763" s="79" t="s">
        <v>1065</v>
      </c>
      <c r="C763" s="76" t="s">
        <v>1066</v>
      </c>
      <c r="D763" s="77"/>
      <c r="E763" s="77"/>
      <c r="F763" s="77"/>
      <c r="G763" s="78"/>
      <c r="H763" s="77"/>
      <c r="I763" s="77"/>
      <c r="J763" s="77"/>
      <c r="K763" s="77"/>
      <c r="L763" s="77"/>
      <c r="M763" s="77"/>
      <c r="N763" s="77"/>
      <c r="O763" s="78"/>
      <c r="P763" s="77"/>
    </row>
    <row r="764" spans="1:16" s="22" customFormat="1" ht="22.5" customHeight="1" x14ac:dyDescent="0.35">
      <c r="A764" s="87"/>
      <c r="B764" s="79" t="s">
        <v>1067</v>
      </c>
      <c r="C764" s="76" t="s">
        <v>1068</v>
      </c>
      <c r="D764" s="77">
        <v>12</v>
      </c>
      <c r="E764" s="77"/>
      <c r="F764" s="77">
        <v>2</v>
      </c>
      <c r="G764" s="78">
        <v>40000</v>
      </c>
      <c r="H764" s="77"/>
      <c r="I764" s="77">
        <v>1</v>
      </c>
      <c r="J764" s="77"/>
      <c r="K764" s="77">
        <v>2</v>
      </c>
      <c r="L764" s="77"/>
      <c r="M764" s="77"/>
      <c r="N764" s="77"/>
      <c r="O764" s="78"/>
      <c r="P764" s="77"/>
    </row>
    <row r="765" spans="1:16" s="22" customFormat="1" ht="22.5" customHeight="1" x14ac:dyDescent="0.35">
      <c r="A765" s="87"/>
      <c r="B765" s="79" t="s">
        <v>1069</v>
      </c>
      <c r="C765" s="76" t="s">
        <v>1070</v>
      </c>
      <c r="D765" s="77">
        <v>2</v>
      </c>
      <c r="E765" s="77"/>
      <c r="F765" s="77"/>
      <c r="G765" s="78"/>
      <c r="H765" s="77"/>
      <c r="I765" s="77">
        <v>2</v>
      </c>
      <c r="J765" s="77"/>
      <c r="K765" s="77"/>
      <c r="L765" s="77"/>
      <c r="M765" s="77"/>
      <c r="N765" s="77"/>
      <c r="O765" s="78"/>
      <c r="P765" s="77"/>
    </row>
    <row r="766" spans="1:16" s="22" customFormat="1" ht="22.5" customHeight="1" x14ac:dyDescent="0.35">
      <c r="A766" s="87"/>
      <c r="B766" s="79" t="s">
        <v>1071</v>
      </c>
      <c r="C766" s="76" t="s">
        <v>1072</v>
      </c>
      <c r="D766" s="77"/>
      <c r="E766" s="77"/>
      <c r="F766" s="77"/>
      <c r="G766" s="78"/>
      <c r="H766" s="77"/>
      <c r="I766" s="77"/>
      <c r="J766" s="77"/>
      <c r="K766" s="77"/>
      <c r="L766" s="77"/>
      <c r="M766" s="77"/>
      <c r="N766" s="77"/>
      <c r="O766" s="78"/>
      <c r="P766" s="77"/>
    </row>
    <row r="767" spans="1:16" s="22" customFormat="1" ht="22.5" customHeight="1" x14ac:dyDescent="0.35">
      <c r="A767" s="87"/>
      <c r="B767" s="75" t="s">
        <v>183</v>
      </c>
      <c r="C767" s="89"/>
      <c r="D767" s="77"/>
      <c r="E767" s="77"/>
      <c r="F767" s="77"/>
      <c r="G767" s="78"/>
      <c r="H767" s="77"/>
      <c r="I767" s="77">
        <v>40</v>
      </c>
      <c r="J767" s="77"/>
      <c r="K767" s="77">
        <v>14</v>
      </c>
      <c r="L767" s="77"/>
      <c r="M767" s="77"/>
      <c r="N767" s="77"/>
      <c r="O767" s="78"/>
      <c r="P767" s="77"/>
    </row>
    <row r="768" spans="1:16" s="22" customFormat="1" ht="22.5" customHeight="1" x14ac:dyDescent="0.35">
      <c r="A768" s="87"/>
      <c r="B768" s="79" t="s">
        <v>1073</v>
      </c>
      <c r="C768" s="76" t="s">
        <v>1074</v>
      </c>
      <c r="D768" s="77"/>
      <c r="E768" s="77"/>
      <c r="F768" s="77"/>
      <c r="G768" s="78"/>
      <c r="H768" s="77"/>
      <c r="I768" s="77"/>
      <c r="J768" s="77"/>
      <c r="K768" s="77"/>
      <c r="L768" s="77"/>
      <c r="M768" s="77"/>
      <c r="N768" s="77"/>
      <c r="O768" s="78"/>
      <c r="P768" s="77"/>
    </row>
    <row r="769" spans="1:16" s="22" customFormat="1" ht="22.5" customHeight="1" x14ac:dyDescent="0.35">
      <c r="A769" s="87"/>
      <c r="B769" s="79" t="s">
        <v>1075</v>
      </c>
      <c r="C769" s="76" t="s">
        <v>1076</v>
      </c>
      <c r="D769" s="77"/>
      <c r="E769" s="77"/>
      <c r="F769" s="77">
        <v>20</v>
      </c>
      <c r="G769" s="78"/>
      <c r="H769" s="77"/>
      <c r="I769" s="77">
        <v>40</v>
      </c>
      <c r="J769" s="77"/>
      <c r="K769" s="77">
        <v>1</v>
      </c>
      <c r="L769" s="77"/>
      <c r="M769" s="77"/>
      <c r="N769" s="77"/>
      <c r="O769" s="78"/>
      <c r="P769" s="77">
        <v>5000</v>
      </c>
    </row>
    <row r="770" spans="1:16" s="22" customFormat="1" ht="22.5" customHeight="1" x14ac:dyDescent="0.35">
      <c r="A770" s="87"/>
      <c r="B770" s="79" t="s">
        <v>1077</v>
      </c>
      <c r="C770" s="76" t="s">
        <v>1078</v>
      </c>
      <c r="D770" s="77">
        <v>4</v>
      </c>
      <c r="E770" s="77"/>
      <c r="F770" s="77">
        <v>50</v>
      </c>
      <c r="G770" s="78">
        <v>40000</v>
      </c>
      <c r="H770" s="77"/>
      <c r="I770" s="77">
        <v>40</v>
      </c>
      <c r="J770" s="77"/>
      <c r="K770" s="77">
        <v>10</v>
      </c>
      <c r="L770" s="77"/>
      <c r="M770" s="77"/>
      <c r="N770" s="77"/>
      <c r="O770" s="78"/>
      <c r="P770" s="77"/>
    </row>
    <row r="771" spans="1:16" s="22" customFormat="1" ht="22.5" customHeight="1" x14ac:dyDescent="0.35">
      <c r="A771" s="87"/>
      <c r="B771" s="79" t="s">
        <v>1079</v>
      </c>
      <c r="C771" s="76" t="s">
        <v>1080</v>
      </c>
      <c r="D771" s="77"/>
      <c r="E771" s="77"/>
      <c r="F771" s="77">
        <v>20</v>
      </c>
      <c r="G771" s="78"/>
      <c r="H771" s="77"/>
      <c r="I771" s="77">
        <v>40</v>
      </c>
      <c r="J771" s="77"/>
      <c r="K771" s="77">
        <v>1</v>
      </c>
      <c r="L771" s="77"/>
      <c r="M771" s="77"/>
      <c r="N771" s="77"/>
      <c r="O771" s="78"/>
      <c r="P771" s="77">
        <v>5000</v>
      </c>
    </row>
    <row r="772" spans="1:16" s="22" customFormat="1" ht="22.5" customHeight="1" x14ac:dyDescent="0.35">
      <c r="A772" s="87"/>
      <c r="B772" s="79" t="s">
        <v>1081</v>
      </c>
      <c r="C772" s="76" t="s">
        <v>1082</v>
      </c>
      <c r="D772" s="77"/>
      <c r="E772" s="77"/>
      <c r="F772" s="77"/>
      <c r="G772" s="78"/>
      <c r="H772" s="77"/>
      <c r="I772" s="77"/>
      <c r="J772" s="77"/>
      <c r="K772" s="77"/>
      <c r="L772" s="77"/>
      <c r="M772" s="77"/>
      <c r="N772" s="77"/>
      <c r="O772" s="78"/>
      <c r="P772" s="77"/>
    </row>
    <row r="773" spans="1:16" s="22" customFormat="1" ht="22.5" customHeight="1" x14ac:dyDescent="0.35">
      <c r="A773" s="87"/>
      <c r="B773" s="79" t="s">
        <v>1083</v>
      </c>
      <c r="C773" s="76" t="s">
        <v>1084</v>
      </c>
      <c r="D773" s="77"/>
      <c r="E773" s="77"/>
      <c r="F773" s="77"/>
      <c r="G773" s="78"/>
      <c r="H773" s="77"/>
      <c r="I773" s="77"/>
      <c r="J773" s="77"/>
      <c r="K773" s="77"/>
      <c r="L773" s="77"/>
      <c r="M773" s="77"/>
      <c r="N773" s="77"/>
      <c r="O773" s="78"/>
      <c r="P773" s="77"/>
    </row>
    <row r="774" spans="1:16" s="22" customFormat="1" ht="22.5" customHeight="1" x14ac:dyDescent="0.35">
      <c r="A774" s="87"/>
      <c r="B774" s="79" t="s">
        <v>1085</v>
      </c>
      <c r="C774" s="76" t="s">
        <v>1086</v>
      </c>
      <c r="D774" s="77"/>
      <c r="E774" s="77"/>
      <c r="F774" s="77"/>
      <c r="G774" s="78"/>
      <c r="H774" s="77"/>
      <c r="I774" s="77"/>
      <c r="J774" s="77"/>
      <c r="K774" s="77"/>
      <c r="L774" s="77"/>
      <c r="M774" s="77"/>
      <c r="N774" s="77"/>
      <c r="O774" s="78"/>
      <c r="P774" s="77"/>
    </row>
    <row r="775" spans="1:16" s="22" customFormat="1" ht="22.5" customHeight="1" x14ac:dyDescent="0.35">
      <c r="A775" s="74"/>
      <c r="B775" s="75" t="s">
        <v>184</v>
      </c>
      <c r="C775" s="68"/>
      <c r="D775" s="77"/>
      <c r="E775" s="77"/>
      <c r="F775" s="77"/>
      <c r="G775" s="78"/>
      <c r="H775" s="77"/>
      <c r="I775" s="77"/>
      <c r="J775" s="77"/>
      <c r="K775" s="77"/>
      <c r="L775" s="77"/>
      <c r="M775" s="77"/>
      <c r="N775" s="77"/>
      <c r="O775" s="78"/>
      <c r="P775" s="77"/>
    </row>
    <row r="776" spans="1:16" s="22" customFormat="1" ht="22.5" customHeight="1" x14ac:dyDescent="0.35">
      <c r="A776" s="74"/>
      <c r="B776" s="79" t="s">
        <v>1087</v>
      </c>
      <c r="C776" s="76" t="s">
        <v>1088</v>
      </c>
      <c r="D776" s="77">
        <v>1</v>
      </c>
      <c r="E776" s="77">
        <v>4</v>
      </c>
      <c r="F776" s="77">
        <v>288</v>
      </c>
      <c r="G776" s="78">
        <v>10000</v>
      </c>
      <c r="H776" s="77">
        <v>25000</v>
      </c>
      <c r="I776" s="77">
        <v>9</v>
      </c>
      <c r="J776" s="77"/>
      <c r="K776" s="77">
        <v>5</v>
      </c>
      <c r="L776" s="77"/>
      <c r="M776" s="77">
        <v>100000</v>
      </c>
      <c r="N776" s="77"/>
      <c r="O776" s="78"/>
      <c r="P776" s="77"/>
    </row>
    <row r="777" spans="1:16" s="22" customFormat="1" ht="22.5" customHeight="1" x14ac:dyDescent="0.35">
      <c r="A777" s="74"/>
      <c r="B777" s="79" t="s">
        <v>1089</v>
      </c>
      <c r="C777" s="76" t="s">
        <v>1090</v>
      </c>
      <c r="D777" s="77"/>
      <c r="E777" s="77"/>
      <c r="F777" s="77"/>
      <c r="G777" s="78"/>
      <c r="H777" s="77"/>
      <c r="I777" s="77"/>
      <c r="J777" s="77"/>
      <c r="K777" s="77"/>
      <c r="L777" s="77"/>
      <c r="M777" s="77"/>
      <c r="N777" s="77"/>
      <c r="O777" s="78"/>
      <c r="P777" s="77"/>
    </row>
    <row r="778" spans="1:16" s="22" customFormat="1" ht="22.5" customHeight="1" x14ac:dyDescent="0.35">
      <c r="A778" s="74"/>
      <c r="B778" s="75" t="s">
        <v>185</v>
      </c>
      <c r="C778" s="76"/>
      <c r="D778" s="77"/>
      <c r="E778" s="77"/>
      <c r="F778" s="77"/>
      <c r="G778" s="78"/>
      <c r="H778" s="77"/>
      <c r="I778" s="77"/>
      <c r="J778" s="77"/>
      <c r="K778" s="77"/>
      <c r="L778" s="77"/>
      <c r="M778" s="77"/>
      <c r="N778" s="77"/>
      <c r="O778" s="78"/>
      <c r="P778" s="77"/>
    </row>
    <row r="779" spans="1:16" s="22" customFormat="1" ht="22.5" customHeight="1" x14ac:dyDescent="0.35">
      <c r="A779" s="74"/>
      <c r="B779" s="79" t="s">
        <v>1091</v>
      </c>
      <c r="C779" s="76" t="s">
        <v>1092</v>
      </c>
      <c r="D779" s="77"/>
      <c r="E779" s="77"/>
      <c r="F779" s="77"/>
      <c r="G779" s="78"/>
      <c r="H779" s="77"/>
      <c r="I779" s="77"/>
      <c r="J779" s="77"/>
      <c r="K779" s="77"/>
      <c r="L779" s="77"/>
      <c r="M779" s="77"/>
      <c r="N779" s="77"/>
      <c r="O779" s="78"/>
      <c r="P779" s="77"/>
    </row>
    <row r="780" spans="1:16" s="22" customFormat="1" ht="22.5" customHeight="1" x14ac:dyDescent="0.35">
      <c r="A780" s="74"/>
      <c r="B780" s="79" t="s">
        <v>1093</v>
      </c>
      <c r="C780" s="76" t="s">
        <v>1094</v>
      </c>
      <c r="D780" s="77"/>
      <c r="E780" s="77"/>
      <c r="F780" s="77"/>
      <c r="G780" s="78"/>
      <c r="H780" s="77"/>
      <c r="I780" s="77"/>
      <c r="J780" s="77"/>
      <c r="K780" s="77"/>
      <c r="L780" s="77"/>
      <c r="M780" s="77"/>
      <c r="N780" s="77"/>
      <c r="O780" s="78"/>
      <c r="P780" s="77"/>
    </row>
    <row r="781" spans="1:16" s="22" customFormat="1" ht="22.5" customHeight="1" x14ac:dyDescent="0.35">
      <c r="A781" s="74"/>
      <c r="B781" s="79" t="s">
        <v>1095</v>
      </c>
      <c r="C781" s="76" t="s">
        <v>1096</v>
      </c>
      <c r="D781" s="77"/>
      <c r="E781" s="77"/>
      <c r="F781" s="77"/>
      <c r="G781" s="78"/>
      <c r="H781" s="77"/>
      <c r="I781" s="77"/>
      <c r="J781" s="77"/>
      <c r="K781" s="77"/>
      <c r="L781" s="77"/>
      <c r="M781" s="77"/>
      <c r="N781" s="77"/>
      <c r="O781" s="78"/>
      <c r="P781" s="77"/>
    </row>
    <row r="782" spans="1:16" s="22" customFormat="1" ht="22.5" customHeight="1" x14ac:dyDescent="0.35">
      <c r="A782" s="74"/>
      <c r="B782" s="79" t="s">
        <v>1097</v>
      </c>
      <c r="C782" s="76" t="s">
        <v>1098</v>
      </c>
      <c r="D782" s="77"/>
      <c r="E782" s="77"/>
      <c r="F782" s="77"/>
      <c r="G782" s="78"/>
      <c r="H782" s="77"/>
      <c r="I782" s="77"/>
      <c r="J782" s="77"/>
      <c r="K782" s="77"/>
      <c r="L782" s="77"/>
      <c r="M782" s="77"/>
      <c r="N782" s="77"/>
      <c r="O782" s="78"/>
      <c r="P782" s="77"/>
    </row>
    <row r="783" spans="1:16" s="22" customFormat="1" ht="22.5" customHeight="1" x14ac:dyDescent="0.35">
      <c r="A783" s="74"/>
      <c r="B783" s="79" t="s">
        <v>1099</v>
      </c>
      <c r="C783" s="76" t="s">
        <v>1100</v>
      </c>
      <c r="D783" s="77"/>
      <c r="E783" s="77"/>
      <c r="F783" s="77"/>
      <c r="G783" s="78"/>
      <c r="H783" s="77"/>
      <c r="I783" s="77"/>
      <c r="J783" s="77"/>
      <c r="K783" s="77"/>
      <c r="L783" s="77"/>
      <c r="M783" s="77"/>
      <c r="N783" s="77"/>
      <c r="O783" s="78"/>
      <c r="P783" s="77"/>
    </row>
    <row r="784" spans="1:16" s="22" customFormat="1" ht="22.5" customHeight="1" x14ac:dyDescent="0.35">
      <c r="A784" s="74"/>
      <c r="B784" s="79" t="s">
        <v>1101</v>
      </c>
      <c r="C784" s="76" t="s">
        <v>1102</v>
      </c>
      <c r="D784" s="77"/>
      <c r="E784" s="77"/>
      <c r="F784" s="77"/>
      <c r="G784" s="78"/>
      <c r="H784" s="77"/>
      <c r="I784" s="77"/>
      <c r="J784" s="77"/>
      <c r="K784" s="77"/>
      <c r="L784" s="77"/>
      <c r="M784" s="77"/>
      <c r="N784" s="77"/>
      <c r="O784" s="78"/>
      <c r="P784" s="77"/>
    </row>
    <row r="785" spans="1:19" s="22" customFormat="1" ht="22.5" customHeight="1" x14ac:dyDescent="0.35">
      <c r="A785" s="74"/>
      <c r="B785" s="79" t="s">
        <v>1103</v>
      </c>
      <c r="C785" s="76" t="s">
        <v>1104</v>
      </c>
      <c r="D785" s="77"/>
      <c r="E785" s="77"/>
      <c r="F785" s="77"/>
      <c r="G785" s="78"/>
      <c r="H785" s="77"/>
      <c r="I785" s="77"/>
      <c r="J785" s="77"/>
      <c r="K785" s="77"/>
      <c r="L785" s="77"/>
      <c r="M785" s="77"/>
      <c r="N785" s="77"/>
      <c r="O785" s="78"/>
      <c r="P785" s="77"/>
    </row>
    <row r="786" spans="1:19" s="22" customFormat="1" ht="22.5" customHeight="1" x14ac:dyDescent="0.35">
      <c r="A786" s="74"/>
      <c r="B786" s="79" t="s">
        <v>1105</v>
      </c>
      <c r="C786" s="76" t="s">
        <v>1106</v>
      </c>
      <c r="D786" s="77"/>
      <c r="E786" s="77"/>
      <c r="F786" s="77"/>
      <c r="G786" s="78"/>
      <c r="H786" s="77"/>
      <c r="I786" s="77"/>
      <c r="J786" s="77"/>
      <c r="K786" s="77"/>
      <c r="L786" s="77"/>
      <c r="M786" s="77"/>
      <c r="N786" s="77"/>
      <c r="O786" s="78"/>
      <c r="P786" s="77"/>
    </row>
    <row r="787" spans="1:19" s="22" customFormat="1" ht="22.5" customHeight="1" x14ac:dyDescent="0.35">
      <c r="A787" s="74"/>
      <c r="B787" s="79" t="s">
        <v>1107</v>
      </c>
      <c r="C787" s="76" t="s">
        <v>1108</v>
      </c>
      <c r="D787" s="77"/>
      <c r="E787" s="77"/>
      <c r="F787" s="77"/>
      <c r="G787" s="78"/>
      <c r="H787" s="77"/>
      <c r="I787" s="77"/>
      <c r="J787" s="77"/>
      <c r="K787" s="77"/>
      <c r="L787" s="77"/>
      <c r="M787" s="77"/>
      <c r="N787" s="77"/>
      <c r="O787" s="78"/>
      <c r="P787" s="77"/>
    </row>
    <row r="788" spans="1:19" s="22" customFormat="1" ht="22.5" customHeight="1" x14ac:dyDescent="0.35">
      <c r="A788" s="74"/>
      <c r="B788" s="79" t="s">
        <v>1109</v>
      </c>
      <c r="C788" s="76" t="s">
        <v>1110</v>
      </c>
      <c r="D788" s="77"/>
      <c r="E788" s="77"/>
      <c r="F788" s="77"/>
      <c r="G788" s="78"/>
      <c r="H788" s="77"/>
      <c r="I788" s="77"/>
      <c r="J788" s="77"/>
      <c r="K788" s="77"/>
      <c r="L788" s="77"/>
      <c r="M788" s="77"/>
      <c r="N788" s="77"/>
      <c r="O788" s="78"/>
      <c r="P788" s="77"/>
    </row>
    <row r="789" spans="1:19" s="22" customFormat="1" ht="22.5" customHeight="1" x14ac:dyDescent="0.35">
      <c r="A789" s="74"/>
      <c r="B789" s="79" t="s">
        <v>1111</v>
      </c>
      <c r="C789" s="76" t="s">
        <v>1112</v>
      </c>
      <c r="D789" s="77"/>
      <c r="E789" s="77"/>
      <c r="F789" s="77"/>
      <c r="G789" s="78"/>
      <c r="H789" s="77"/>
      <c r="I789" s="77"/>
      <c r="J789" s="77"/>
      <c r="K789" s="77"/>
      <c r="L789" s="77"/>
      <c r="M789" s="77"/>
      <c r="N789" s="77"/>
      <c r="O789" s="78"/>
      <c r="P789" s="77"/>
    </row>
    <row r="790" spans="1:19" s="22" customFormat="1" ht="22.5" customHeight="1" x14ac:dyDescent="0.35">
      <c r="A790" s="74"/>
      <c r="B790" s="79" t="s">
        <v>1113</v>
      </c>
      <c r="C790" s="76" t="s">
        <v>1114</v>
      </c>
      <c r="D790" s="77"/>
      <c r="E790" s="77"/>
      <c r="F790" s="77"/>
      <c r="G790" s="78"/>
      <c r="H790" s="77"/>
      <c r="I790" s="77"/>
      <c r="J790" s="77"/>
      <c r="K790" s="77"/>
      <c r="L790" s="77"/>
      <c r="M790" s="77"/>
      <c r="N790" s="77"/>
      <c r="O790" s="78"/>
      <c r="P790" s="77"/>
    </row>
    <row r="791" spans="1:19" s="22" customFormat="1" ht="22.5" customHeight="1" x14ac:dyDescent="0.35">
      <c r="A791" s="74"/>
      <c r="B791" s="79" t="s">
        <v>1115</v>
      </c>
      <c r="C791" s="76" t="s">
        <v>1116</v>
      </c>
      <c r="D791" s="77"/>
      <c r="E791" s="77"/>
      <c r="F791" s="77"/>
      <c r="G791" s="78"/>
      <c r="H791" s="77"/>
      <c r="I791" s="77"/>
      <c r="J791" s="77"/>
      <c r="K791" s="77"/>
      <c r="L791" s="77"/>
      <c r="M791" s="77"/>
      <c r="N791" s="77"/>
      <c r="O791" s="78"/>
      <c r="P791" s="77"/>
    </row>
    <row r="792" spans="1:19" s="22" customFormat="1" ht="22.5" customHeight="1" x14ac:dyDescent="0.35">
      <c r="A792" s="74"/>
      <c r="B792" s="90" t="s">
        <v>186</v>
      </c>
      <c r="C792" s="91"/>
      <c r="D792" s="77"/>
      <c r="E792" s="77"/>
      <c r="F792" s="77"/>
      <c r="G792" s="78"/>
      <c r="H792" s="77"/>
      <c r="I792" s="77"/>
      <c r="J792" s="77"/>
      <c r="K792" s="77"/>
      <c r="L792" s="77"/>
      <c r="M792" s="77"/>
      <c r="N792" s="77"/>
      <c r="O792" s="78"/>
      <c r="P792" s="77"/>
    </row>
    <row r="793" spans="1:19" s="22" customFormat="1" ht="22.5" customHeight="1" x14ac:dyDescent="0.35">
      <c r="A793" s="74"/>
      <c r="B793" s="88" t="s">
        <v>1117</v>
      </c>
      <c r="C793" s="91" t="s">
        <v>1118</v>
      </c>
      <c r="D793" s="77"/>
      <c r="E793" s="77"/>
      <c r="F793" s="77"/>
      <c r="G793" s="78"/>
      <c r="H793" s="77"/>
      <c r="I793" s="77"/>
      <c r="J793" s="77"/>
      <c r="K793" s="77"/>
      <c r="L793" s="77"/>
      <c r="M793" s="77"/>
      <c r="N793" s="77"/>
      <c r="O793" s="78"/>
      <c r="P793" s="77"/>
    </row>
    <row r="794" spans="1:19" s="22" customFormat="1" ht="22.5" customHeight="1" x14ac:dyDescent="0.35">
      <c r="A794" s="74"/>
      <c r="B794" s="88" t="s">
        <v>1119</v>
      </c>
      <c r="C794" s="91" t="s">
        <v>1120</v>
      </c>
      <c r="D794" s="77">
        <v>1</v>
      </c>
      <c r="E794" s="77"/>
      <c r="F794" s="77"/>
      <c r="G794" s="78"/>
      <c r="H794" s="77"/>
      <c r="I794" s="77">
        <v>114</v>
      </c>
      <c r="J794" s="77"/>
      <c r="K794" s="77"/>
      <c r="L794" s="77"/>
      <c r="M794" s="77"/>
      <c r="N794" s="77"/>
      <c r="O794" s="78"/>
      <c r="P794" s="77"/>
    </row>
    <row r="795" spans="1:19" s="22" customFormat="1" ht="22.5" customHeight="1" x14ac:dyDescent="0.35">
      <c r="A795" s="74"/>
      <c r="B795" s="88" t="s">
        <v>1121</v>
      </c>
      <c r="C795" s="91" t="s">
        <v>1122</v>
      </c>
      <c r="D795" s="77"/>
      <c r="E795" s="77"/>
      <c r="F795" s="77"/>
      <c r="G795" s="78"/>
      <c r="H795" s="77"/>
      <c r="I795" s="77"/>
      <c r="J795" s="77"/>
      <c r="K795" s="77"/>
      <c r="L795" s="77"/>
      <c r="M795" s="77"/>
      <c r="N795" s="77"/>
      <c r="O795" s="78"/>
      <c r="P795" s="77"/>
      <c r="S795" s="24"/>
    </row>
    <row r="796" spans="1:19" s="22" customFormat="1" ht="22.5" customHeight="1" x14ac:dyDescent="0.35">
      <c r="A796" s="74"/>
      <c r="B796" s="75" t="s">
        <v>187</v>
      </c>
      <c r="C796" s="76"/>
      <c r="D796" s="77">
        <v>4</v>
      </c>
      <c r="E796" s="77"/>
      <c r="F796" s="77">
        <v>10</v>
      </c>
      <c r="G796" s="78">
        <v>10000</v>
      </c>
      <c r="H796" s="77"/>
      <c r="I796" s="77">
        <v>4</v>
      </c>
      <c r="J796" s="77"/>
      <c r="K796" s="77"/>
      <c r="L796" s="77"/>
      <c r="M796" s="77"/>
      <c r="N796" s="77"/>
      <c r="O796" s="78"/>
      <c r="P796" s="77"/>
    </row>
    <row r="797" spans="1:19" s="22" customFormat="1" ht="22.5" customHeight="1" x14ac:dyDescent="0.35">
      <c r="A797" s="74"/>
      <c r="B797" s="79" t="s">
        <v>1123</v>
      </c>
      <c r="C797" s="91" t="s">
        <v>1124</v>
      </c>
      <c r="D797" s="77">
        <v>4</v>
      </c>
      <c r="E797" s="77"/>
      <c r="F797" s="77">
        <v>10</v>
      </c>
      <c r="G797" s="78">
        <v>10000</v>
      </c>
      <c r="H797" s="77"/>
      <c r="I797" s="77">
        <v>4</v>
      </c>
      <c r="J797" s="77"/>
      <c r="K797" s="77"/>
      <c r="L797" s="77"/>
      <c r="M797" s="77"/>
      <c r="N797" s="77"/>
      <c r="O797" s="78"/>
      <c r="P797" s="77"/>
    </row>
    <row r="798" spans="1:19" s="22" customFormat="1" ht="22.5" customHeight="1" x14ac:dyDescent="0.35">
      <c r="A798" s="74"/>
      <c r="B798" s="79" t="s">
        <v>1125</v>
      </c>
      <c r="C798" s="91" t="s">
        <v>1126</v>
      </c>
      <c r="D798" s="77">
        <v>4</v>
      </c>
      <c r="E798" s="77"/>
      <c r="F798" s="77">
        <v>10</v>
      </c>
      <c r="G798" s="78">
        <v>10000</v>
      </c>
      <c r="H798" s="77"/>
      <c r="I798" s="77">
        <v>4</v>
      </c>
      <c r="J798" s="77"/>
      <c r="K798" s="77"/>
      <c r="L798" s="77"/>
      <c r="M798" s="77"/>
      <c r="N798" s="77"/>
      <c r="O798" s="78"/>
      <c r="P798" s="77"/>
    </row>
    <row r="799" spans="1:19" s="22" customFormat="1" ht="22.5" customHeight="1" x14ac:dyDescent="0.35">
      <c r="A799" s="74"/>
      <c r="B799" s="79" t="s">
        <v>1127</v>
      </c>
      <c r="C799" s="91" t="s">
        <v>1128</v>
      </c>
      <c r="D799" s="77">
        <v>4</v>
      </c>
      <c r="E799" s="77"/>
      <c r="F799" s="77">
        <v>10</v>
      </c>
      <c r="G799" s="78">
        <v>10000</v>
      </c>
      <c r="H799" s="77"/>
      <c r="I799" s="77">
        <v>4</v>
      </c>
      <c r="J799" s="77"/>
      <c r="K799" s="77"/>
      <c r="L799" s="77"/>
      <c r="M799" s="77"/>
      <c r="N799" s="77"/>
      <c r="O799" s="78"/>
      <c r="P799" s="77"/>
    </row>
    <row r="800" spans="1:19" s="22" customFormat="1" ht="22.5" customHeight="1" x14ac:dyDescent="0.35">
      <c r="A800" s="74"/>
      <c r="B800" s="79" t="s">
        <v>1129</v>
      </c>
      <c r="C800" s="91" t="s">
        <v>1130</v>
      </c>
      <c r="D800" s="77"/>
      <c r="E800" s="77"/>
      <c r="F800" s="77"/>
      <c r="G800" s="78"/>
      <c r="H800" s="77"/>
      <c r="I800" s="77"/>
      <c r="J800" s="77"/>
      <c r="K800" s="77"/>
      <c r="L800" s="77"/>
      <c r="M800" s="77"/>
      <c r="N800" s="77"/>
      <c r="O800" s="78"/>
      <c r="P800" s="77"/>
    </row>
    <row r="801" spans="1:16" s="22" customFormat="1" ht="22.5" customHeight="1" x14ac:dyDescent="0.35">
      <c r="A801" s="80"/>
      <c r="B801" s="80" t="s">
        <v>96</v>
      </c>
      <c r="C801" s="81"/>
      <c r="D801" s="32"/>
      <c r="E801" s="32"/>
      <c r="F801" s="32"/>
      <c r="G801" s="33"/>
      <c r="H801" s="32"/>
      <c r="I801" s="32"/>
      <c r="J801" s="32"/>
      <c r="K801" s="32"/>
      <c r="L801" s="32"/>
      <c r="M801" s="32"/>
      <c r="N801" s="32"/>
      <c r="O801" s="32"/>
      <c r="P801" s="32"/>
    </row>
    <row r="802" spans="1:16" s="22" customFormat="1" ht="22.5" customHeight="1" x14ac:dyDescent="0.35">
      <c r="A802" s="74"/>
      <c r="B802" s="75" t="s">
        <v>188</v>
      </c>
      <c r="C802" s="68"/>
      <c r="D802" s="77"/>
      <c r="E802" s="77"/>
      <c r="F802" s="77"/>
      <c r="G802" s="78"/>
      <c r="H802" s="77"/>
      <c r="I802" s="77"/>
      <c r="J802" s="77"/>
      <c r="K802" s="77"/>
      <c r="L802" s="77"/>
      <c r="M802" s="77"/>
      <c r="N802" s="77"/>
      <c r="O802" s="78"/>
      <c r="P802" s="77"/>
    </row>
    <row r="803" spans="1:16" s="22" customFormat="1" ht="22.5" customHeight="1" x14ac:dyDescent="0.35">
      <c r="A803" s="74"/>
      <c r="B803" s="79" t="s">
        <v>1131</v>
      </c>
      <c r="C803" s="91" t="s">
        <v>1132</v>
      </c>
      <c r="D803" s="77"/>
      <c r="E803" s="77"/>
      <c r="F803" s="77"/>
      <c r="G803" s="78"/>
      <c r="H803" s="77"/>
      <c r="I803" s="77"/>
      <c r="J803" s="77"/>
      <c r="K803" s="77"/>
      <c r="L803" s="77"/>
      <c r="M803" s="77"/>
      <c r="N803" s="77"/>
      <c r="O803" s="78"/>
      <c r="P803" s="77"/>
    </row>
    <row r="804" spans="1:16" s="22" customFormat="1" ht="22.5" customHeight="1" x14ac:dyDescent="0.35">
      <c r="A804" s="74"/>
      <c r="B804" s="79" t="s">
        <v>1133</v>
      </c>
      <c r="C804" s="91" t="s">
        <v>1134</v>
      </c>
      <c r="D804" s="77"/>
      <c r="E804" s="77"/>
      <c r="F804" s="77">
        <v>20</v>
      </c>
      <c r="G804" s="78">
        <v>10000</v>
      </c>
      <c r="H804" s="77"/>
      <c r="I804" s="77">
        <v>40</v>
      </c>
      <c r="J804" s="77"/>
      <c r="K804" s="77">
        <v>1</v>
      </c>
      <c r="L804" s="77"/>
      <c r="M804" s="77"/>
      <c r="N804" s="77"/>
      <c r="O804" s="78"/>
      <c r="P804" s="77"/>
    </row>
    <row r="805" spans="1:16" s="22" customFormat="1" ht="22.5" customHeight="1" x14ac:dyDescent="0.35">
      <c r="A805" s="74"/>
      <c r="B805" s="79" t="s">
        <v>1135</v>
      </c>
      <c r="C805" s="91" t="s">
        <v>1136</v>
      </c>
      <c r="D805" s="77">
        <v>2</v>
      </c>
      <c r="E805" s="77"/>
      <c r="F805" s="77">
        <v>20</v>
      </c>
      <c r="G805" s="78">
        <v>40000</v>
      </c>
      <c r="H805" s="77"/>
      <c r="I805" s="77">
        <v>40</v>
      </c>
      <c r="J805" s="77"/>
      <c r="K805" s="77">
        <v>10</v>
      </c>
      <c r="L805" s="77"/>
      <c r="M805" s="77"/>
      <c r="N805" s="77"/>
      <c r="O805" s="78"/>
      <c r="P805" s="77"/>
    </row>
    <row r="806" spans="1:16" s="22" customFormat="1" ht="22.5" customHeight="1" x14ac:dyDescent="0.35">
      <c r="A806" s="74"/>
      <c r="B806" s="79" t="s">
        <v>1137</v>
      </c>
      <c r="C806" s="91" t="s">
        <v>1138</v>
      </c>
      <c r="D806" s="77"/>
      <c r="E806" s="77"/>
      <c r="F806" s="77">
        <v>20</v>
      </c>
      <c r="G806" s="78">
        <v>10000</v>
      </c>
      <c r="H806" s="77"/>
      <c r="I806" s="77">
        <v>40</v>
      </c>
      <c r="J806" s="77"/>
      <c r="K806" s="77">
        <v>1</v>
      </c>
      <c r="L806" s="77"/>
      <c r="M806" s="77"/>
      <c r="N806" s="77"/>
      <c r="O806" s="78"/>
      <c r="P806" s="77"/>
    </row>
    <row r="807" spans="1:16" s="22" customFormat="1" ht="22.5" customHeight="1" x14ac:dyDescent="0.35">
      <c r="A807" s="74"/>
      <c r="B807" s="79" t="s">
        <v>1139</v>
      </c>
      <c r="C807" s="91" t="s">
        <v>1140</v>
      </c>
      <c r="D807" s="77"/>
      <c r="E807" s="77"/>
      <c r="F807" s="77"/>
      <c r="G807" s="78"/>
      <c r="H807" s="77"/>
      <c r="I807" s="77"/>
      <c r="J807" s="77"/>
      <c r="K807" s="77"/>
      <c r="L807" s="77"/>
      <c r="M807" s="77"/>
      <c r="N807" s="77"/>
      <c r="O807" s="78"/>
      <c r="P807" s="77"/>
    </row>
    <row r="808" spans="1:16" s="22" customFormat="1" ht="22.5" customHeight="1" x14ac:dyDescent="0.35">
      <c r="A808" s="74"/>
      <c r="B808" s="75" t="s">
        <v>189</v>
      </c>
      <c r="C808" s="76"/>
      <c r="D808" s="77"/>
      <c r="E808" s="77"/>
      <c r="F808" s="77"/>
      <c r="G808" s="78"/>
      <c r="H808" s="77"/>
      <c r="I808" s="77"/>
      <c r="J808" s="77"/>
      <c r="K808" s="77"/>
      <c r="L808" s="77"/>
      <c r="M808" s="77"/>
      <c r="N808" s="77"/>
      <c r="O808" s="78"/>
      <c r="P808" s="77"/>
    </row>
    <row r="809" spans="1:16" s="22" customFormat="1" ht="22.5" customHeight="1" x14ac:dyDescent="0.35">
      <c r="A809" s="74"/>
      <c r="B809" s="79" t="s">
        <v>1141</v>
      </c>
      <c r="C809" s="91" t="s">
        <v>1140</v>
      </c>
      <c r="D809" s="77"/>
      <c r="E809" s="77"/>
      <c r="F809" s="77"/>
      <c r="G809" s="78"/>
      <c r="H809" s="77"/>
      <c r="I809" s="77"/>
      <c r="J809" s="77"/>
      <c r="K809" s="77"/>
      <c r="L809" s="77"/>
      <c r="M809" s="77"/>
      <c r="N809" s="77"/>
      <c r="O809" s="78"/>
      <c r="P809" s="77"/>
    </row>
    <row r="810" spans="1:16" s="22" customFormat="1" ht="22.5" customHeight="1" x14ac:dyDescent="0.35">
      <c r="A810" s="74"/>
      <c r="B810" s="79" t="s">
        <v>1142</v>
      </c>
      <c r="C810" s="91" t="s">
        <v>1143</v>
      </c>
      <c r="D810" s="77"/>
      <c r="E810" s="77"/>
      <c r="F810" s="77"/>
      <c r="G810" s="78"/>
      <c r="H810" s="77"/>
      <c r="I810" s="77"/>
      <c r="J810" s="77"/>
      <c r="K810" s="77"/>
      <c r="L810" s="77"/>
      <c r="M810" s="77"/>
      <c r="N810" s="77"/>
      <c r="O810" s="78"/>
      <c r="P810" s="77"/>
    </row>
    <row r="811" spans="1:16" s="22" customFormat="1" ht="22.5" customHeight="1" x14ac:dyDescent="0.35">
      <c r="A811" s="74"/>
      <c r="B811" s="79" t="s">
        <v>1144</v>
      </c>
      <c r="C811" s="91" t="s">
        <v>1145</v>
      </c>
      <c r="D811" s="77">
        <v>2</v>
      </c>
      <c r="E811" s="77"/>
      <c r="F811" s="77">
        <v>10</v>
      </c>
      <c r="G811" s="78">
        <v>40000</v>
      </c>
      <c r="H811" s="77"/>
      <c r="I811" s="77">
        <v>40</v>
      </c>
      <c r="J811" s="77"/>
      <c r="K811" s="77">
        <v>6</v>
      </c>
      <c r="L811" s="77"/>
      <c r="M811" s="77"/>
      <c r="N811" s="77"/>
      <c r="O811" s="78"/>
      <c r="P811" s="77"/>
    </row>
    <row r="812" spans="1:16" s="22" customFormat="1" ht="22.5" customHeight="1" x14ac:dyDescent="0.35">
      <c r="A812" s="74"/>
      <c r="B812" s="79" t="s">
        <v>1146</v>
      </c>
      <c r="C812" s="91" t="s">
        <v>1147</v>
      </c>
      <c r="D812" s="77"/>
      <c r="E812" s="77"/>
      <c r="F812" s="77"/>
      <c r="G812" s="78"/>
      <c r="H812" s="77"/>
      <c r="I812" s="77"/>
      <c r="J812" s="77"/>
      <c r="K812" s="77"/>
      <c r="L812" s="77"/>
      <c r="M812" s="77"/>
      <c r="N812" s="77"/>
      <c r="O812" s="78"/>
      <c r="P812" s="77"/>
    </row>
    <row r="813" spans="1:16" s="22" customFormat="1" ht="22.5" customHeight="1" x14ac:dyDescent="0.35">
      <c r="A813" s="80"/>
      <c r="B813" s="80" t="s">
        <v>98</v>
      </c>
      <c r="C813" s="81"/>
      <c r="D813" s="32"/>
      <c r="E813" s="32"/>
      <c r="F813" s="32"/>
      <c r="G813" s="33"/>
      <c r="H813" s="32"/>
      <c r="I813" s="32"/>
      <c r="J813" s="32"/>
      <c r="K813" s="32"/>
      <c r="L813" s="32"/>
      <c r="M813" s="32"/>
      <c r="N813" s="32"/>
      <c r="O813" s="32"/>
      <c r="P813" s="32"/>
    </row>
    <row r="814" spans="1:16" s="22" customFormat="1" ht="22.5" customHeight="1" x14ac:dyDescent="0.35">
      <c r="A814" s="74"/>
      <c r="B814" s="75" t="s">
        <v>190</v>
      </c>
      <c r="C814" s="68"/>
      <c r="D814" s="77">
        <v>1</v>
      </c>
      <c r="E814" s="77"/>
      <c r="F814" s="77"/>
      <c r="G814" s="78"/>
      <c r="H814" s="77"/>
      <c r="I814" s="77">
        <v>1</v>
      </c>
      <c r="J814" s="77"/>
      <c r="K814" s="77">
        <v>1</v>
      </c>
      <c r="L814" s="77"/>
      <c r="M814" s="77"/>
      <c r="N814" s="77"/>
      <c r="O814" s="78">
        <v>200000</v>
      </c>
      <c r="P814" s="77"/>
    </row>
    <row r="815" spans="1:16" s="22" customFormat="1" ht="22.5" customHeight="1" x14ac:dyDescent="0.35">
      <c r="A815" s="74"/>
      <c r="B815" s="79" t="s">
        <v>1148</v>
      </c>
      <c r="C815" s="91" t="s">
        <v>1149</v>
      </c>
      <c r="D815" s="77">
        <v>1</v>
      </c>
      <c r="E815" s="77"/>
      <c r="F815" s="77"/>
      <c r="G815" s="78"/>
      <c r="H815" s="77"/>
      <c r="I815" s="77">
        <v>1</v>
      </c>
      <c r="J815" s="77"/>
      <c r="K815" s="77">
        <v>10</v>
      </c>
      <c r="L815" s="77"/>
      <c r="M815" s="77"/>
      <c r="N815" s="77"/>
      <c r="O815" s="78">
        <v>1000000</v>
      </c>
      <c r="P815" s="77"/>
    </row>
    <row r="816" spans="1:16" s="22" customFormat="1" ht="22.5" customHeight="1" x14ac:dyDescent="0.35">
      <c r="A816" s="74"/>
      <c r="B816" s="79" t="s">
        <v>1150</v>
      </c>
      <c r="C816" s="91" t="s">
        <v>1151</v>
      </c>
      <c r="D816" s="77">
        <v>1</v>
      </c>
      <c r="E816" s="77"/>
      <c r="F816" s="77"/>
      <c r="G816" s="78"/>
      <c r="H816" s="77"/>
      <c r="I816" s="77"/>
      <c r="J816" s="77"/>
      <c r="K816" s="77"/>
      <c r="L816" s="77"/>
      <c r="M816" s="77"/>
      <c r="N816" s="77"/>
      <c r="O816" s="78"/>
      <c r="P816" s="77"/>
    </row>
    <row r="817" spans="1:16" s="22" customFormat="1" ht="22.5" customHeight="1" x14ac:dyDescent="0.35">
      <c r="A817" s="74"/>
      <c r="B817" s="79" t="s">
        <v>1152</v>
      </c>
      <c r="C817" s="91" t="s">
        <v>1153</v>
      </c>
      <c r="D817" s="77">
        <v>1</v>
      </c>
      <c r="E817" s="77"/>
      <c r="F817" s="77"/>
      <c r="G817" s="78"/>
      <c r="H817" s="77"/>
      <c r="I817" s="77"/>
      <c r="J817" s="77"/>
      <c r="K817" s="77"/>
      <c r="L817" s="77"/>
      <c r="M817" s="77"/>
      <c r="N817" s="77"/>
      <c r="O817" s="78"/>
      <c r="P817" s="77"/>
    </row>
    <row r="818" spans="1:16" s="22" customFormat="1" ht="22.5" customHeight="1" x14ac:dyDescent="0.35">
      <c r="A818" s="74"/>
      <c r="B818" s="79" t="s">
        <v>1154</v>
      </c>
      <c r="C818" s="91" t="s">
        <v>1155</v>
      </c>
      <c r="D818" s="77">
        <v>1</v>
      </c>
      <c r="E818" s="77"/>
      <c r="F818" s="77"/>
      <c r="G818" s="78"/>
      <c r="H818" s="77"/>
      <c r="I818" s="77"/>
      <c r="J818" s="77"/>
      <c r="K818" s="77"/>
      <c r="L818" s="77"/>
      <c r="M818" s="77"/>
      <c r="N818" s="77"/>
      <c r="O818" s="78"/>
      <c r="P818" s="77"/>
    </row>
    <row r="819" spans="1:16" s="22" customFormat="1" ht="22.5" customHeight="1" x14ac:dyDescent="0.35">
      <c r="A819" s="74"/>
      <c r="B819" s="79" t="s">
        <v>1156</v>
      </c>
      <c r="C819" s="91" t="s">
        <v>1157</v>
      </c>
      <c r="D819" s="77">
        <v>1</v>
      </c>
      <c r="E819" s="77"/>
      <c r="F819" s="77"/>
      <c r="G819" s="78"/>
      <c r="H819" s="77"/>
      <c r="I819" s="77"/>
      <c r="J819" s="77"/>
      <c r="K819" s="77"/>
      <c r="L819" s="77"/>
      <c r="M819" s="77"/>
      <c r="N819" s="77"/>
      <c r="O819" s="78"/>
      <c r="P819" s="77"/>
    </row>
    <row r="820" spans="1:16" s="22" customFormat="1" ht="22.5" customHeight="1" x14ac:dyDescent="0.35">
      <c r="A820" s="74"/>
      <c r="B820" s="79" t="s">
        <v>1158</v>
      </c>
      <c r="C820" s="91" t="s">
        <v>1159</v>
      </c>
      <c r="D820" s="77">
        <v>1</v>
      </c>
      <c r="E820" s="77"/>
      <c r="F820" s="77"/>
      <c r="G820" s="78"/>
      <c r="H820" s="77"/>
      <c r="I820" s="77"/>
      <c r="J820" s="77"/>
      <c r="K820" s="77"/>
      <c r="L820" s="77"/>
      <c r="M820" s="77"/>
      <c r="N820" s="77"/>
      <c r="O820" s="78"/>
      <c r="P820" s="77"/>
    </row>
    <row r="821" spans="1:16" s="22" customFormat="1" ht="22.5" customHeight="1" x14ac:dyDescent="0.35">
      <c r="A821" s="74"/>
      <c r="B821" s="79" t="s">
        <v>1160</v>
      </c>
      <c r="C821" s="91" t="s">
        <v>1161</v>
      </c>
      <c r="D821" s="77">
        <v>1</v>
      </c>
      <c r="E821" s="77"/>
      <c r="F821" s="77"/>
      <c r="G821" s="78"/>
      <c r="H821" s="77"/>
      <c r="I821" s="77"/>
      <c r="J821" s="77"/>
      <c r="K821" s="77"/>
      <c r="L821" s="77"/>
      <c r="M821" s="77"/>
      <c r="N821" s="77"/>
      <c r="O821" s="78"/>
      <c r="P821" s="77"/>
    </row>
    <row r="822" spans="1:16" s="22" customFormat="1" ht="22.5" customHeight="1" x14ac:dyDescent="0.35">
      <c r="A822" s="74"/>
      <c r="B822" s="79" t="s">
        <v>1162</v>
      </c>
      <c r="C822" s="91" t="s">
        <v>1163</v>
      </c>
      <c r="D822" s="77"/>
      <c r="E822" s="77"/>
      <c r="F822" s="77"/>
      <c r="G822" s="78"/>
      <c r="H822" s="77"/>
      <c r="I822" s="77"/>
      <c r="J822" s="77"/>
      <c r="K822" s="77"/>
      <c r="L822" s="77"/>
      <c r="M822" s="77"/>
      <c r="N822" s="77"/>
      <c r="O822" s="78"/>
      <c r="P822" s="77"/>
    </row>
    <row r="823" spans="1:16" s="22" customFormat="1" ht="22.5" customHeight="1" x14ac:dyDescent="0.35">
      <c r="A823" s="80"/>
      <c r="B823" s="80" t="s">
        <v>99</v>
      </c>
      <c r="C823" s="81"/>
      <c r="D823" s="32"/>
      <c r="E823" s="32"/>
      <c r="F823" s="32"/>
      <c r="G823" s="33"/>
      <c r="H823" s="32"/>
      <c r="I823" s="32"/>
      <c r="J823" s="32"/>
      <c r="K823" s="32"/>
      <c r="L823" s="32"/>
      <c r="M823" s="32"/>
      <c r="N823" s="32"/>
      <c r="O823" s="32"/>
      <c r="P823" s="32"/>
    </row>
    <row r="824" spans="1:16" s="22" customFormat="1" ht="22.5" customHeight="1" x14ac:dyDescent="0.35">
      <c r="A824" s="74"/>
      <c r="B824" s="84" t="s">
        <v>191</v>
      </c>
      <c r="C824" s="85"/>
      <c r="D824" s="77"/>
      <c r="E824" s="77"/>
      <c r="F824" s="77"/>
      <c r="G824" s="78"/>
      <c r="H824" s="77"/>
      <c r="I824" s="77"/>
      <c r="J824" s="77"/>
      <c r="K824" s="77"/>
      <c r="L824" s="77"/>
      <c r="M824" s="77"/>
      <c r="N824" s="77"/>
      <c r="O824" s="78"/>
      <c r="P824" s="77"/>
    </row>
    <row r="825" spans="1:16" s="22" customFormat="1" ht="22.5" customHeight="1" x14ac:dyDescent="0.35">
      <c r="A825" s="74"/>
      <c r="B825" s="82" t="s">
        <v>1164</v>
      </c>
      <c r="C825" s="91" t="s">
        <v>1165</v>
      </c>
      <c r="D825" s="77"/>
      <c r="E825" s="77"/>
      <c r="F825" s="77"/>
      <c r="G825" s="78"/>
      <c r="H825" s="77"/>
      <c r="I825" s="77"/>
      <c r="J825" s="77"/>
      <c r="K825" s="77"/>
      <c r="L825" s="77"/>
      <c r="M825" s="77"/>
      <c r="N825" s="77"/>
      <c r="O825" s="78"/>
      <c r="P825" s="77"/>
    </row>
    <row r="826" spans="1:16" s="22" customFormat="1" ht="22.5" customHeight="1" x14ac:dyDescent="0.35">
      <c r="A826" s="74"/>
      <c r="B826" s="82" t="s">
        <v>1166</v>
      </c>
      <c r="C826" s="91" t="s">
        <v>1167</v>
      </c>
      <c r="D826" s="77"/>
      <c r="E826" s="77"/>
      <c r="F826" s="77"/>
      <c r="G826" s="78"/>
      <c r="H826" s="77"/>
      <c r="I826" s="77"/>
      <c r="J826" s="77"/>
      <c r="K826" s="77"/>
      <c r="L826" s="77"/>
      <c r="M826" s="77"/>
      <c r="N826" s="77"/>
      <c r="O826" s="78"/>
      <c r="P826" s="77"/>
    </row>
    <row r="827" spans="1:16" s="22" customFormat="1" ht="22.5" customHeight="1" x14ac:dyDescent="0.35">
      <c r="A827" s="74"/>
      <c r="B827" s="82" t="s">
        <v>1168</v>
      </c>
      <c r="C827" s="91" t="s">
        <v>1169</v>
      </c>
      <c r="D827" s="77">
        <v>4</v>
      </c>
      <c r="E827" s="77"/>
      <c r="F827" s="77">
        <f>39*15</f>
        <v>585</v>
      </c>
      <c r="G827" s="78"/>
      <c r="H827" s="77"/>
      <c r="I827" s="77">
        <v>4</v>
      </c>
      <c r="J827" s="77"/>
      <c r="K827" s="77">
        <v>2</v>
      </c>
      <c r="L827" s="77"/>
      <c r="M827" s="77"/>
      <c r="N827" s="77"/>
      <c r="O827" s="78"/>
      <c r="P827" s="77">
        <v>2500</v>
      </c>
    </row>
    <row r="828" spans="1:16" s="22" customFormat="1" ht="22.5" customHeight="1" x14ac:dyDescent="0.35">
      <c r="A828" s="74"/>
      <c r="B828" s="82" t="s">
        <v>1170</v>
      </c>
      <c r="C828" s="91" t="s">
        <v>1171</v>
      </c>
      <c r="D828" s="77"/>
      <c r="E828" s="77"/>
      <c r="F828" s="77"/>
      <c r="G828" s="78"/>
      <c r="H828" s="77"/>
      <c r="I828" s="77"/>
      <c r="J828" s="77"/>
      <c r="K828" s="77"/>
      <c r="L828" s="77"/>
      <c r="M828" s="77"/>
      <c r="N828" s="77"/>
      <c r="O828" s="78"/>
      <c r="P828" s="77"/>
    </row>
    <row r="829" spans="1:16" s="22" customFormat="1" ht="22.5" customHeight="1" x14ac:dyDescent="0.35">
      <c r="A829" s="74"/>
      <c r="B829" s="82" t="s">
        <v>1172</v>
      </c>
      <c r="C829" s="91" t="s">
        <v>1173</v>
      </c>
      <c r="D829" s="77"/>
      <c r="E829" s="77"/>
      <c r="F829" s="77"/>
      <c r="G829" s="78"/>
      <c r="H829" s="77"/>
      <c r="I829" s="77"/>
      <c r="J829" s="77"/>
      <c r="K829" s="77"/>
      <c r="L829" s="77"/>
      <c r="M829" s="77"/>
      <c r="N829" s="77"/>
      <c r="O829" s="78"/>
      <c r="P829" s="77"/>
    </row>
    <row r="830" spans="1:16" ht="22.5" customHeight="1" x14ac:dyDescent="0.35">
      <c r="A830" s="92"/>
      <c r="B830" s="92" t="s">
        <v>27</v>
      </c>
      <c r="C830" s="93"/>
      <c r="D830" s="92"/>
      <c r="E830" s="94" t="s">
        <v>209</v>
      </c>
      <c r="F830" s="95" t="s">
        <v>210</v>
      </c>
      <c r="G830" s="96" t="s">
        <v>211</v>
      </c>
      <c r="H830" s="94" t="s">
        <v>212</v>
      </c>
      <c r="I830" s="94" t="s">
        <v>213</v>
      </c>
      <c r="J830" s="94" t="s">
        <v>214</v>
      </c>
      <c r="K830" s="94" t="s">
        <v>215</v>
      </c>
      <c r="L830" s="94" t="s">
        <v>216</v>
      </c>
      <c r="M830" s="97" t="s">
        <v>217</v>
      </c>
      <c r="N830" s="32"/>
      <c r="O830" s="32"/>
      <c r="P830" s="32"/>
    </row>
    <row r="831" spans="1:16" ht="22.5" customHeight="1" x14ac:dyDescent="0.35">
      <c r="A831" s="98"/>
      <c r="B831" s="98" t="s">
        <v>102</v>
      </c>
      <c r="C831" s="99"/>
      <c r="D831" s="100"/>
      <c r="E831" s="101"/>
      <c r="F831" s="101"/>
      <c r="G831" s="101"/>
      <c r="H831" s="101"/>
      <c r="I831" s="101"/>
      <c r="J831" s="101"/>
      <c r="K831" s="101"/>
      <c r="L831" s="101"/>
      <c r="M831" s="101"/>
      <c r="N831" s="32"/>
      <c r="O831" s="32"/>
      <c r="P831" s="32"/>
    </row>
    <row r="832" spans="1:16" ht="22.5" customHeight="1" x14ac:dyDescent="0.35">
      <c r="A832" s="52"/>
      <c r="B832" s="48" t="s">
        <v>192</v>
      </c>
      <c r="D832" s="102">
        <v>1</v>
      </c>
      <c r="E832" s="103">
        <v>10</v>
      </c>
      <c r="F832" s="104">
        <v>0</v>
      </c>
      <c r="G832" s="105">
        <v>0</v>
      </c>
      <c r="H832" s="105">
        <v>0</v>
      </c>
      <c r="I832" s="103">
        <v>10</v>
      </c>
      <c r="J832" s="106">
        <v>0</v>
      </c>
      <c r="K832" s="107">
        <v>0</v>
      </c>
      <c r="L832" s="106">
        <v>250</v>
      </c>
      <c r="M832" s="104">
        <f>(E832*F832)+(E832*G832*I832)+(E832*H832*I832)+(E832*J832*I832)+(E832*K832*I832)+(E832*L832)</f>
        <v>2500</v>
      </c>
      <c r="N832" s="36"/>
      <c r="O832" s="36"/>
      <c r="P832" s="32"/>
    </row>
    <row r="833" spans="1:16" ht="22.5" customHeight="1" x14ac:dyDescent="0.35">
      <c r="A833" s="52"/>
      <c r="B833" s="108" t="s">
        <v>1174</v>
      </c>
      <c r="C833" s="54" t="s">
        <v>1175</v>
      </c>
      <c r="D833" s="102">
        <v>0</v>
      </c>
      <c r="E833" s="103">
        <v>0</v>
      </c>
      <c r="F833" s="104">
        <v>0</v>
      </c>
      <c r="G833" s="105">
        <v>0</v>
      </c>
      <c r="H833" s="105">
        <v>0</v>
      </c>
      <c r="I833" s="103">
        <v>0</v>
      </c>
      <c r="J833" s="106">
        <v>0</v>
      </c>
      <c r="K833" s="107">
        <v>0</v>
      </c>
      <c r="L833" s="106">
        <v>0</v>
      </c>
      <c r="M833" s="104">
        <f>(E833*F833)+(E833*G833*I833)+(E833*H833*I833)+(E833*J833*I833)+(E833*K833*I833)+(E833*L833)</f>
        <v>0</v>
      </c>
      <c r="N833" s="36"/>
      <c r="O833" s="36"/>
      <c r="P833" s="32"/>
    </row>
    <row r="834" spans="1:16" ht="22.5" customHeight="1" x14ac:dyDescent="0.35">
      <c r="A834" s="52"/>
      <c r="B834" s="108" t="s">
        <v>1176</v>
      </c>
      <c r="C834" s="54" t="s">
        <v>1177</v>
      </c>
      <c r="D834" s="102">
        <v>0</v>
      </c>
      <c r="E834" s="103">
        <v>0</v>
      </c>
      <c r="F834" s="104">
        <v>0</v>
      </c>
      <c r="G834" s="105">
        <v>0</v>
      </c>
      <c r="H834" s="105">
        <v>0</v>
      </c>
      <c r="I834" s="103">
        <v>0</v>
      </c>
      <c r="J834" s="106">
        <v>0</v>
      </c>
      <c r="K834" s="107">
        <v>0</v>
      </c>
      <c r="L834" s="106">
        <v>0</v>
      </c>
      <c r="M834" s="104">
        <f>(E834*F834)+(E834*G834*I834)+(E834*H834*I834)+(E834*J834*I834)+(E834*K834*I834)+(E834*L834)</f>
        <v>0</v>
      </c>
      <c r="N834" s="36"/>
      <c r="O834" s="36"/>
      <c r="P834" s="32"/>
    </row>
    <row r="835" spans="1:16" ht="22.5" customHeight="1" x14ac:dyDescent="0.35">
      <c r="A835" s="52"/>
      <c r="B835" s="108" t="s">
        <v>1178</v>
      </c>
      <c r="C835" s="54" t="s">
        <v>1179</v>
      </c>
      <c r="D835" s="109">
        <v>0</v>
      </c>
      <c r="E835" s="103">
        <v>0</v>
      </c>
      <c r="F835" s="104">
        <v>0</v>
      </c>
      <c r="G835" s="105">
        <v>0</v>
      </c>
      <c r="H835" s="105">
        <v>0</v>
      </c>
      <c r="I835" s="103">
        <v>0</v>
      </c>
      <c r="J835" s="106">
        <v>0</v>
      </c>
      <c r="K835" s="107">
        <v>0</v>
      </c>
      <c r="L835" s="106">
        <v>0</v>
      </c>
      <c r="M835" s="104">
        <f>(E835*F835)+(E835*G835*I835)+(E835*H835*I835)+(E835*J835*I835)+(E835*K835*I835)+(E835*L835)</f>
        <v>0</v>
      </c>
      <c r="N835" s="36"/>
      <c r="O835" s="36"/>
      <c r="P835" s="32"/>
    </row>
    <row r="836" spans="1:16" ht="22.5" customHeight="1" x14ac:dyDescent="0.35">
      <c r="A836" s="52"/>
      <c r="B836" s="108" t="s">
        <v>1180</v>
      </c>
      <c r="C836" s="54" t="s">
        <v>1181</v>
      </c>
      <c r="D836" s="109">
        <v>2</v>
      </c>
      <c r="E836" s="103">
        <v>1</v>
      </c>
      <c r="F836" s="104">
        <v>0</v>
      </c>
      <c r="G836" s="105">
        <v>0</v>
      </c>
      <c r="H836" s="105">
        <v>0</v>
      </c>
      <c r="I836" s="110">
        <v>0</v>
      </c>
      <c r="J836" s="106">
        <v>0</v>
      </c>
      <c r="K836" s="107">
        <v>0</v>
      </c>
      <c r="L836" s="106">
        <v>2000</v>
      </c>
      <c r="M836" s="104">
        <v>1000</v>
      </c>
      <c r="N836" s="36"/>
      <c r="O836" s="36"/>
      <c r="P836" s="32"/>
    </row>
    <row r="837" spans="1:16" ht="22.5" customHeight="1" x14ac:dyDescent="0.35">
      <c r="A837" s="52"/>
      <c r="B837" s="108" t="s">
        <v>1182</v>
      </c>
      <c r="C837" s="54" t="s">
        <v>1183</v>
      </c>
      <c r="D837" s="109">
        <v>0</v>
      </c>
      <c r="E837" s="103">
        <v>0</v>
      </c>
      <c r="F837" s="104">
        <v>0</v>
      </c>
      <c r="G837" s="105">
        <v>0</v>
      </c>
      <c r="H837" s="105">
        <v>0</v>
      </c>
      <c r="I837" s="103">
        <v>0</v>
      </c>
      <c r="J837" s="106">
        <v>0</v>
      </c>
      <c r="K837" s="107">
        <v>0</v>
      </c>
      <c r="L837" s="106">
        <v>0</v>
      </c>
      <c r="M837" s="104">
        <f>(E837*F837)+(E837*G837*I837)+(E837*H837*I837)+(E837*J837*I837)+(E837*K837*I837)+(E837*L837)</f>
        <v>0</v>
      </c>
      <c r="N837" s="36"/>
      <c r="O837" s="36"/>
      <c r="P837" s="32"/>
    </row>
    <row r="838" spans="1:16" ht="22.5" customHeight="1" x14ac:dyDescent="0.35">
      <c r="A838" s="52"/>
      <c r="B838" s="108" t="s">
        <v>1180</v>
      </c>
      <c r="C838" s="54" t="s">
        <v>1184</v>
      </c>
      <c r="D838" s="109">
        <v>0</v>
      </c>
      <c r="E838" s="103">
        <v>0</v>
      </c>
      <c r="F838" s="104">
        <v>0</v>
      </c>
      <c r="G838" s="105">
        <v>0</v>
      </c>
      <c r="H838" s="105">
        <v>0</v>
      </c>
      <c r="I838" s="103">
        <v>0</v>
      </c>
      <c r="J838" s="106">
        <v>0</v>
      </c>
      <c r="K838" s="107">
        <v>0</v>
      </c>
      <c r="L838" s="106">
        <v>0</v>
      </c>
      <c r="M838" s="104">
        <f>(E838*F838)+(E838*G838*I838)+(E838*H838*I838)+(E838*J838*I838)+(E838*K838*I838)+(E838*L838)</f>
        <v>0</v>
      </c>
      <c r="N838" s="36"/>
      <c r="O838" s="36"/>
      <c r="P838" s="32"/>
    </row>
    <row r="839" spans="1:16" ht="22.5" customHeight="1" x14ac:dyDescent="0.35">
      <c r="A839" s="52"/>
      <c r="B839" s="108" t="s">
        <v>1182</v>
      </c>
      <c r="C839" s="54" t="s">
        <v>1185</v>
      </c>
      <c r="D839" s="102">
        <v>4</v>
      </c>
      <c r="E839" s="103">
        <v>1</v>
      </c>
      <c r="F839" s="104">
        <v>0</v>
      </c>
      <c r="G839" s="105">
        <v>0</v>
      </c>
      <c r="H839" s="105">
        <v>0</v>
      </c>
      <c r="I839" s="103">
        <v>0</v>
      </c>
      <c r="J839" s="106">
        <v>0</v>
      </c>
      <c r="K839" s="107">
        <v>15</v>
      </c>
      <c r="L839" s="106">
        <v>500</v>
      </c>
      <c r="M839" s="104">
        <f>(E839*F839)+(E839*G839*I839)+(E839*H839*I839)+(E839*J839*I839)+(E839*K839*I839)+(E839*L839)</f>
        <v>500</v>
      </c>
      <c r="N839" s="36"/>
      <c r="O839" s="36"/>
      <c r="P839" s="32"/>
    </row>
    <row r="840" spans="1:16" ht="22.5" customHeight="1" x14ac:dyDescent="0.35">
      <c r="A840" s="52"/>
      <c r="B840" s="108" t="s">
        <v>1186</v>
      </c>
      <c r="C840" s="54" t="s">
        <v>1187</v>
      </c>
      <c r="D840" s="102">
        <v>2</v>
      </c>
      <c r="E840" s="103">
        <v>1</v>
      </c>
      <c r="F840" s="104">
        <v>0</v>
      </c>
      <c r="G840" s="105">
        <v>0</v>
      </c>
      <c r="H840" s="105">
        <v>0</v>
      </c>
      <c r="I840" s="103">
        <v>1</v>
      </c>
      <c r="J840" s="106">
        <v>0</v>
      </c>
      <c r="K840" s="107">
        <v>15</v>
      </c>
      <c r="L840" s="106">
        <v>1000</v>
      </c>
      <c r="M840" s="104">
        <f>(E840*F840)+(E840*G840*I840)+(E840*H840*I840)+(E840*J840*I840)+(E840*K840*I840)+(E840*L840)</f>
        <v>1015</v>
      </c>
      <c r="N840" s="36"/>
      <c r="O840" s="36"/>
      <c r="P840" s="32"/>
    </row>
    <row r="841" spans="1:16" ht="22.5" customHeight="1" x14ac:dyDescent="0.35">
      <c r="A841" s="52"/>
      <c r="B841" s="108" t="s">
        <v>1188</v>
      </c>
      <c r="C841" s="54" t="s">
        <v>1189</v>
      </c>
      <c r="D841" s="102">
        <v>1</v>
      </c>
      <c r="E841" s="103">
        <v>1</v>
      </c>
      <c r="F841" s="104">
        <v>0</v>
      </c>
      <c r="G841" s="105">
        <v>0</v>
      </c>
      <c r="H841" s="105">
        <v>0</v>
      </c>
      <c r="I841" s="103">
        <v>1</v>
      </c>
      <c r="J841" s="111">
        <v>0</v>
      </c>
      <c r="K841" s="107"/>
      <c r="L841" s="111">
        <v>3000</v>
      </c>
      <c r="M841" s="104">
        <f>(E841*F841)+(E841*G841*I841)+(E841*H841*I841)+(E841*J841*I841)+(E841*K841*I841)+(E841*L841)</f>
        <v>3000</v>
      </c>
      <c r="N841" s="36"/>
      <c r="O841" s="36"/>
      <c r="P841" s="32"/>
    </row>
    <row r="842" spans="1:16" ht="22.5" customHeight="1" x14ac:dyDescent="0.35">
      <c r="A842" s="52"/>
      <c r="B842" s="108" t="s">
        <v>1190</v>
      </c>
      <c r="C842" s="54" t="s">
        <v>1191</v>
      </c>
      <c r="D842" s="102"/>
      <c r="E842" s="103"/>
      <c r="F842" s="104"/>
      <c r="G842" s="105"/>
      <c r="H842" s="105"/>
      <c r="I842" s="103"/>
      <c r="J842" s="111"/>
      <c r="K842" s="107"/>
      <c r="L842" s="111"/>
      <c r="M842" s="104"/>
      <c r="N842" s="36"/>
      <c r="O842" s="36"/>
      <c r="P842" s="32"/>
    </row>
    <row r="843" spans="1:16" ht="22.5" customHeight="1" x14ac:dyDescent="0.35">
      <c r="A843" s="98"/>
      <c r="B843" s="98" t="s">
        <v>1192</v>
      </c>
      <c r="C843" s="99"/>
      <c r="D843" s="100"/>
      <c r="E843" s="101"/>
      <c r="F843" s="101"/>
      <c r="G843" s="112"/>
      <c r="H843" s="112"/>
      <c r="I843" s="101"/>
      <c r="J843" s="112"/>
      <c r="K843" s="112"/>
      <c r="L843" s="112"/>
      <c r="M843" s="112"/>
      <c r="N843" s="36"/>
      <c r="O843" s="36"/>
      <c r="P843" s="32"/>
    </row>
    <row r="844" spans="1:16" ht="22.5" customHeight="1" x14ac:dyDescent="0.35">
      <c r="A844" s="52"/>
      <c r="B844" s="48" t="s">
        <v>193</v>
      </c>
      <c r="D844" s="102">
        <v>1</v>
      </c>
      <c r="E844" s="103">
        <v>96</v>
      </c>
      <c r="F844" s="104">
        <v>0</v>
      </c>
      <c r="G844" s="105">
        <v>0</v>
      </c>
      <c r="H844" s="105">
        <v>0</v>
      </c>
      <c r="I844" s="103">
        <v>1</v>
      </c>
      <c r="J844" s="111">
        <v>0</v>
      </c>
      <c r="K844" s="111">
        <v>15</v>
      </c>
      <c r="L844" s="111">
        <v>50</v>
      </c>
      <c r="M844" s="104">
        <f t="shared" ref="M844:M845" si="1">(E844*F844)+(E844*G844*I844)+(E844*H844*I844)+(E844*J844*I844)+(E844*K844*I844)+(E844*L844)</f>
        <v>6240</v>
      </c>
      <c r="N844" s="36"/>
      <c r="O844" s="36"/>
      <c r="P844" s="32"/>
    </row>
    <row r="845" spans="1:16" ht="22.5" customHeight="1" x14ac:dyDescent="0.35">
      <c r="A845" s="52"/>
      <c r="B845" s="108" t="s">
        <v>1193</v>
      </c>
      <c r="C845" s="54" t="s">
        <v>1194</v>
      </c>
      <c r="D845" s="102">
        <v>2</v>
      </c>
      <c r="E845" s="103">
        <v>10</v>
      </c>
      <c r="F845" s="104">
        <v>0</v>
      </c>
      <c r="G845" s="105">
        <v>0</v>
      </c>
      <c r="H845" s="105">
        <v>0</v>
      </c>
      <c r="I845" s="103">
        <v>1</v>
      </c>
      <c r="J845" s="111">
        <v>0</v>
      </c>
      <c r="K845" s="111">
        <v>0</v>
      </c>
      <c r="L845" s="111">
        <v>150</v>
      </c>
      <c r="M845" s="104">
        <f t="shared" si="1"/>
        <v>1500</v>
      </c>
      <c r="N845" s="36"/>
      <c r="O845" s="36"/>
      <c r="P845" s="32"/>
    </row>
    <row r="846" spans="1:16" ht="22.5" customHeight="1" x14ac:dyDescent="0.35">
      <c r="A846" s="52"/>
      <c r="B846" s="108" t="s">
        <v>1195</v>
      </c>
      <c r="C846" s="54" t="s">
        <v>1196</v>
      </c>
      <c r="D846" s="109">
        <v>1</v>
      </c>
      <c r="E846" s="103">
        <v>96</v>
      </c>
      <c r="F846" s="104">
        <v>0</v>
      </c>
      <c r="G846" s="105">
        <v>0</v>
      </c>
      <c r="H846" s="105">
        <v>0</v>
      </c>
      <c r="I846" s="103">
        <v>1</v>
      </c>
      <c r="J846" s="111">
        <v>0</v>
      </c>
      <c r="K846" s="111">
        <v>15</v>
      </c>
      <c r="L846" s="111">
        <v>25</v>
      </c>
      <c r="M846" s="104">
        <f>(E846*F846)+(E846*G846*I846)+(E846*H846*I846)+(E846*J846*I846)+(E846*K846*I846)+(E846*L846)</f>
        <v>3840</v>
      </c>
      <c r="N846" s="36"/>
      <c r="O846" s="36"/>
      <c r="P846" s="32"/>
    </row>
    <row r="847" spans="1:16" ht="22.5" customHeight="1" x14ac:dyDescent="0.35">
      <c r="A847" s="52"/>
      <c r="B847" s="113" t="s">
        <v>1197</v>
      </c>
      <c r="C847" s="54" t="s">
        <v>1198</v>
      </c>
      <c r="D847" s="102">
        <v>0</v>
      </c>
      <c r="E847" s="103">
        <v>0</v>
      </c>
      <c r="F847" s="104">
        <v>0</v>
      </c>
      <c r="G847" s="105">
        <v>0</v>
      </c>
      <c r="H847" s="105">
        <v>0</v>
      </c>
      <c r="I847" s="103">
        <v>1</v>
      </c>
      <c r="J847" s="111">
        <v>0</v>
      </c>
      <c r="K847" s="111">
        <v>0</v>
      </c>
      <c r="L847" s="111">
        <v>0</v>
      </c>
      <c r="M847" s="104">
        <f>(E847*F847)+(E847*G847*I847)+(E847*H847*I847)+(E847*J847*I847)+(E847*K847*I847)+(E847*L847)</f>
        <v>0</v>
      </c>
      <c r="N847" s="36"/>
      <c r="O847" s="36"/>
      <c r="P847" s="32"/>
    </row>
    <row r="848" spans="1:16" ht="22.5" customHeight="1" x14ac:dyDescent="0.35">
      <c r="A848" s="52"/>
      <c r="B848" s="113" t="s">
        <v>1199</v>
      </c>
      <c r="C848" s="54" t="s">
        <v>1200</v>
      </c>
      <c r="D848" s="102">
        <v>4</v>
      </c>
      <c r="E848" s="103">
        <v>10</v>
      </c>
      <c r="F848" s="104">
        <v>0</v>
      </c>
      <c r="G848" s="105">
        <v>0</v>
      </c>
      <c r="H848" s="105">
        <v>0</v>
      </c>
      <c r="I848" s="103">
        <v>1</v>
      </c>
      <c r="J848" s="111">
        <v>0</v>
      </c>
      <c r="K848" s="111">
        <v>15</v>
      </c>
      <c r="L848" s="111">
        <v>15</v>
      </c>
      <c r="M848" s="104">
        <f t="shared" ref="M848:M865" si="2">(E848*F848)+(E848*G848*I848)+(E848*H848*I848)+(E848*J848*I848)+(E848*K848*I848)+(E848*L848)</f>
        <v>300</v>
      </c>
      <c r="N848" s="36"/>
      <c r="O848" s="36"/>
      <c r="P848" s="32"/>
    </row>
    <row r="849" spans="1:16" ht="22.5" customHeight="1" x14ac:dyDescent="0.35">
      <c r="A849" s="52"/>
      <c r="B849" s="113" t="s">
        <v>1201</v>
      </c>
      <c r="C849" s="54" t="s">
        <v>1202</v>
      </c>
      <c r="D849" s="109">
        <v>0</v>
      </c>
      <c r="E849" s="103">
        <v>0</v>
      </c>
      <c r="F849" s="104">
        <v>0</v>
      </c>
      <c r="G849" s="105">
        <v>0</v>
      </c>
      <c r="H849" s="105">
        <v>0</v>
      </c>
      <c r="I849" s="110">
        <v>0</v>
      </c>
      <c r="J849" s="111">
        <v>0</v>
      </c>
      <c r="K849" s="111">
        <v>0</v>
      </c>
      <c r="L849" s="111">
        <v>0</v>
      </c>
      <c r="M849" s="104">
        <f t="shared" si="2"/>
        <v>0</v>
      </c>
      <c r="N849" s="36"/>
      <c r="O849" s="36"/>
      <c r="P849" s="32"/>
    </row>
    <row r="850" spans="1:16" ht="22.5" customHeight="1" x14ac:dyDescent="0.35">
      <c r="A850" s="52"/>
      <c r="B850" s="113" t="s">
        <v>1203</v>
      </c>
      <c r="C850" s="54" t="s">
        <v>1204</v>
      </c>
      <c r="D850" s="109">
        <v>4</v>
      </c>
      <c r="E850" s="103">
        <v>20</v>
      </c>
      <c r="F850" s="104">
        <v>0</v>
      </c>
      <c r="G850" s="105">
        <v>0</v>
      </c>
      <c r="H850" s="105">
        <v>0</v>
      </c>
      <c r="I850" s="110">
        <v>1</v>
      </c>
      <c r="J850" s="111">
        <v>0</v>
      </c>
      <c r="K850" s="111">
        <v>15</v>
      </c>
      <c r="L850" s="111">
        <v>0</v>
      </c>
      <c r="M850" s="104">
        <f t="shared" si="2"/>
        <v>300</v>
      </c>
      <c r="N850" s="36"/>
      <c r="O850" s="36"/>
      <c r="P850" s="32"/>
    </row>
    <row r="851" spans="1:16" ht="22.5" customHeight="1" x14ac:dyDescent="0.35">
      <c r="A851" s="52"/>
      <c r="B851" s="113" t="s">
        <v>1205</v>
      </c>
      <c r="C851" s="54" t="s">
        <v>1206</v>
      </c>
      <c r="D851" s="109">
        <v>0</v>
      </c>
      <c r="E851" s="103">
        <v>0</v>
      </c>
      <c r="F851" s="104">
        <v>0</v>
      </c>
      <c r="G851" s="105">
        <v>0</v>
      </c>
      <c r="H851" s="105">
        <v>0</v>
      </c>
      <c r="I851" s="103">
        <v>0</v>
      </c>
      <c r="J851" s="106">
        <v>0</v>
      </c>
      <c r="K851" s="111">
        <v>0</v>
      </c>
      <c r="L851" s="111">
        <v>0</v>
      </c>
      <c r="M851" s="104">
        <f>(E851*F851)+(E851*G851*I851)+(E851*H851*I851)+(E851*J851*I851)+(E851*K851*I851)+(E851*L851)</f>
        <v>0</v>
      </c>
      <c r="N851" s="36"/>
      <c r="O851" s="36"/>
      <c r="P851" s="32"/>
    </row>
    <row r="852" spans="1:16" ht="22.5" customHeight="1" x14ac:dyDescent="0.35">
      <c r="A852" s="52"/>
      <c r="B852" s="113" t="s">
        <v>1207</v>
      </c>
      <c r="C852" s="54" t="s">
        <v>1208</v>
      </c>
      <c r="D852" s="109">
        <v>3</v>
      </c>
      <c r="E852" s="110">
        <v>20</v>
      </c>
      <c r="F852" s="104">
        <v>0</v>
      </c>
      <c r="G852" s="105">
        <v>0</v>
      </c>
      <c r="H852" s="105">
        <v>0</v>
      </c>
      <c r="I852" s="110">
        <v>1</v>
      </c>
      <c r="J852" s="111">
        <v>0</v>
      </c>
      <c r="K852" s="111">
        <v>15</v>
      </c>
      <c r="L852" s="111">
        <v>100</v>
      </c>
      <c r="M852" s="104">
        <f t="shared" si="2"/>
        <v>2300</v>
      </c>
      <c r="N852" s="36"/>
      <c r="O852" s="36"/>
      <c r="P852" s="32"/>
    </row>
    <row r="853" spans="1:16" ht="22.5" customHeight="1" x14ac:dyDescent="0.35">
      <c r="A853" s="52"/>
      <c r="B853" s="113" t="s">
        <v>1209</v>
      </c>
      <c r="C853" s="54" t="s">
        <v>1210</v>
      </c>
      <c r="D853" s="109">
        <v>4</v>
      </c>
      <c r="E853" s="110">
        <v>30</v>
      </c>
      <c r="F853" s="104">
        <v>0</v>
      </c>
      <c r="G853" s="105">
        <v>0</v>
      </c>
      <c r="H853" s="105">
        <v>0</v>
      </c>
      <c r="I853" s="110">
        <v>1</v>
      </c>
      <c r="J853" s="111">
        <v>0</v>
      </c>
      <c r="K853" s="111">
        <v>25</v>
      </c>
      <c r="L853" s="111">
        <v>50</v>
      </c>
      <c r="M853" s="104">
        <f t="shared" si="2"/>
        <v>2250</v>
      </c>
      <c r="N853" s="36"/>
      <c r="O853" s="36"/>
      <c r="P853" s="32"/>
    </row>
    <row r="854" spans="1:16" ht="22.5" customHeight="1" x14ac:dyDescent="0.35">
      <c r="A854" s="52"/>
      <c r="B854" s="113" t="s">
        <v>1211</v>
      </c>
      <c r="C854" s="54" t="s">
        <v>1212</v>
      </c>
      <c r="D854" s="109"/>
      <c r="E854" s="110"/>
      <c r="F854" s="104"/>
      <c r="G854" s="105"/>
      <c r="H854" s="105"/>
      <c r="I854" s="110"/>
      <c r="J854" s="111"/>
      <c r="K854" s="111"/>
      <c r="L854" s="111"/>
      <c r="M854" s="104"/>
      <c r="N854" s="36"/>
      <c r="O854" s="36"/>
      <c r="P854" s="32"/>
    </row>
    <row r="855" spans="1:16" ht="22.5" customHeight="1" x14ac:dyDescent="0.35">
      <c r="A855" s="114"/>
      <c r="B855" s="114" t="s">
        <v>105</v>
      </c>
      <c r="C855" s="115"/>
      <c r="D855" s="100"/>
      <c r="E855" s="101"/>
      <c r="F855" s="112"/>
      <c r="G855" s="112"/>
      <c r="H855" s="112"/>
      <c r="I855" s="101"/>
      <c r="J855" s="112"/>
      <c r="K855" s="112"/>
      <c r="L855" s="112"/>
      <c r="M855" s="112"/>
      <c r="N855" s="36"/>
      <c r="O855" s="36"/>
      <c r="P855" s="32"/>
    </row>
    <row r="856" spans="1:16" ht="22.5" customHeight="1" x14ac:dyDescent="0.35">
      <c r="A856" s="52"/>
      <c r="B856" s="48" t="s">
        <v>194</v>
      </c>
      <c r="D856" s="109">
        <v>1</v>
      </c>
      <c r="E856" s="110">
        <v>30</v>
      </c>
      <c r="F856" s="104">
        <v>0</v>
      </c>
      <c r="G856" s="105">
        <v>0</v>
      </c>
      <c r="H856" s="105">
        <v>0</v>
      </c>
      <c r="I856" s="110">
        <v>1</v>
      </c>
      <c r="J856" s="111">
        <v>0</v>
      </c>
      <c r="K856" s="111">
        <v>25</v>
      </c>
      <c r="L856" s="111">
        <v>50</v>
      </c>
      <c r="M856" s="104">
        <f t="shared" ref="M856" si="3">(E856*F856)+(E856*G856*I856)+(E856*H856*I856)+(E856*J856*I856)+(E856*K856*I856)+(E856*L856)</f>
        <v>2250</v>
      </c>
      <c r="N856" s="36"/>
      <c r="O856" s="36"/>
      <c r="P856" s="32"/>
    </row>
    <row r="857" spans="1:16" ht="22.5" customHeight="1" x14ac:dyDescent="0.35">
      <c r="A857" s="52"/>
      <c r="B857" s="113" t="s">
        <v>106</v>
      </c>
      <c r="C857" s="54" t="s">
        <v>1213</v>
      </c>
      <c r="D857" s="109">
        <v>0</v>
      </c>
      <c r="E857" s="110">
        <v>0</v>
      </c>
      <c r="F857" s="104">
        <v>0</v>
      </c>
      <c r="G857" s="105">
        <v>0</v>
      </c>
      <c r="H857" s="105">
        <v>0</v>
      </c>
      <c r="I857" s="110">
        <v>0</v>
      </c>
      <c r="J857" s="111">
        <v>0</v>
      </c>
      <c r="K857" s="111">
        <v>0</v>
      </c>
      <c r="L857" s="111">
        <v>0</v>
      </c>
      <c r="M857" s="104">
        <f t="shared" si="2"/>
        <v>0</v>
      </c>
      <c r="N857" s="36"/>
      <c r="O857" s="36"/>
      <c r="P857" s="32"/>
    </row>
    <row r="858" spans="1:16" ht="22.5" customHeight="1" x14ac:dyDescent="0.35">
      <c r="A858" s="52"/>
      <c r="B858" s="113" t="s">
        <v>1214</v>
      </c>
      <c r="C858" s="54" t="s">
        <v>1215</v>
      </c>
      <c r="D858" s="109">
        <v>2</v>
      </c>
      <c r="E858" s="110">
        <v>20</v>
      </c>
      <c r="F858" s="104">
        <v>0</v>
      </c>
      <c r="G858" s="105">
        <v>0</v>
      </c>
      <c r="H858" s="105">
        <v>0</v>
      </c>
      <c r="I858" s="110">
        <v>1</v>
      </c>
      <c r="J858" s="111">
        <v>0</v>
      </c>
      <c r="K858" s="111">
        <v>15</v>
      </c>
      <c r="L858" s="111">
        <v>0</v>
      </c>
      <c r="M858" s="104">
        <f t="shared" si="2"/>
        <v>300</v>
      </c>
      <c r="N858" s="36"/>
      <c r="O858" s="36"/>
      <c r="P858" s="32"/>
    </row>
    <row r="859" spans="1:16" ht="22.5" customHeight="1" x14ac:dyDescent="0.35">
      <c r="A859" s="52"/>
      <c r="B859" s="113" t="s">
        <v>1216</v>
      </c>
      <c r="C859" s="54" t="s">
        <v>1217</v>
      </c>
      <c r="D859" s="109">
        <v>2</v>
      </c>
      <c r="E859" s="110">
        <v>20</v>
      </c>
      <c r="F859" s="104">
        <v>35</v>
      </c>
      <c r="G859" s="105">
        <v>0</v>
      </c>
      <c r="H859" s="105">
        <v>0</v>
      </c>
      <c r="I859" s="110">
        <v>2</v>
      </c>
      <c r="J859" s="111">
        <v>0</v>
      </c>
      <c r="K859" s="111">
        <v>25</v>
      </c>
      <c r="L859" s="111">
        <v>0</v>
      </c>
      <c r="M859" s="104">
        <f t="shared" si="2"/>
        <v>1700</v>
      </c>
      <c r="N859" s="36"/>
      <c r="O859" s="36"/>
      <c r="P859" s="32"/>
    </row>
    <row r="860" spans="1:16" ht="22.5" customHeight="1" x14ac:dyDescent="0.35">
      <c r="A860" s="52"/>
      <c r="B860" s="113" t="s">
        <v>1218</v>
      </c>
      <c r="C860" s="54" t="s">
        <v>1219</v>
      </c>
      <c r="D860" s="109"/>
      <c r="E860" s="110"/>
      <c r="F860" s="104"/>
      <c r="G860" s="105"/>
      <c r="H860" s="105"/>
      <c r="I860" s="110"/>
      <c r="J860" s="111"/>
      <c r="K860" s="111"/>
      <c r="L860" s="111"/>
      <c r="M860" s="104"/>
      <c r="N860" s="36"/>
      <c r="O860" s="36"/>
      <c r="P860" s="32"/>
    </row>
    <row r="861" spans="1:16" ht="22.5" customHeight="1" x14ac:dyDescent="0.35">
      <c r="A861" s="114"/>
      <c r="B861" s="114" t="s">
        <v>106</v>
      </c>
      <c r="C861" s="115"/>
      <c r="D861" s="100"/>
      <c r="E861" s="101"/>
      <c r="F861" s="112"/>
      <c r="G861" s="112"/>
      <c r="H861" s="112"/>
      <c r="I861" s="101"/>
      <c r="J861" s="112"/>
      <c r="K861" s="112"/>
      <c r="L861" s="112"/>
      <c r="M861" s="112"/>
      <c r="N861" s="36"/>
      <c r="O861" s="36"/>
      <c r="P861" s="32"/>
    </row>
    <row r="862" spans="1:16" ht="22.5" customHeight="1" x14ac:dyDescent="0.35">
      <c r="A862" s="52"/>
      <c r="B862" s="48" t="s">
        <v>195</v>
      </c>
      <c r="D862" s="109">
        <v>0</v>
      </c>
      <c r="E862" s="110">
        <v>0</v>
      </c>
      <c r="F862" s="104">
        <v>0</v>
      </c>
      <c r="G862" s="105">
        <v>0</v>
      </c>
      <c r="H862" s="105">
        <v>0</v>
      </c>
      <c r="I862" s="110">
        <v>0</v>
      </c>
      <c r="J862" s="111">
        <v>0</v>
      </c>
      <c r="K862" s="111">
        <v>0</v>
      </c>
      <c r="L862" s="111">
        <v>0</v>
      </c>
      <c r="M862" s="104">
        <f t="shared" ref="M862" si="4">(E862*F862)+(E862*G862*I862)+(E862*H862*I862)+(E862*J862*I862)+(E862*K862*I862)+(E862*L862)</f>
        <v>0</v>
      </c>
      <c r="N862" s="36"/>
      <c r="O862" s="36"/>
      <c r="P862" s="32"/>
    </row>
    <row r="863" spans="1:16" ht="22.5" customHeight="1" x14ac:dyDescent="0.35">
      <c r="A863" s="52"/>
      <c r="B863" s="113" t="s">
        <v>1214</v>
      </c>
      <c r="C863" s="54" t="s">
        <v>1220</v>
      </c>
      <c r="D863" s="109">
        <v>2</v>
      </c>
      <c r="E863" s="110">
        <v>20</v>
      </c>
      <c r="F863" s="104">
        <v>35</v>
      </c>
      <c r="G863" s="105">
        <v>0</v>
      </c>
      <c r="H863" s="105">
        <v>0</v>
      </c>
      <c r="I863" s="110">
        <v>1</v>
      </c>
      <c r="J863" s="111">
        <v>0</v>
      </c>
      <c r="K863" s="111">
        <v>25</v>
      </c>
      <c r="L863" s="111">
        <v>0</v>
      </c>
      <c r="M863" s="104">
        <f t="shared" si="2"/>
        <v>1200</v>
      </c>
      <c r="N863" s="36"/>
      <c r="O863" s="36"/>
      <c r="P863" s="32"/>
    </row>
    <row r="864" spans="1:16" ht="22.5" customHeight="1" x14ac:dyDescent="0.35">
      <c r="A864" s="52"/>
      <c r="B864" s="113" t="s">
        <v>1216</v>
      </c>
      <c r="C864" s="54" t="s">
        <v>1221</v>
      </c>
      <c r="D864" s="109">
        <v>2</v>
      </c>
      <c r="E864" s="110">
        <v>20</v>
      </c>
      <c r="F864" s="104">
        <v>0</v>
      </c>
      <c r="G864" s="105">
        <v>0</v>
      </c>
      <c r="H864" s="105">
        <v>0</v>
      </c>
      <c r="I864" s="110">
        <v>1</v>
      </c>
      <c r="J864" s="111">
        <v>0</v>
      </c>
      <c r="K864" s="111">
        <v>15</v>
      </c>
      <c r="L864" s="111">
        <v>0</v>
      </c>
      <c r="M864" s="104">
        <f t="shared" si="2"/>
        <v>300</v>
      </c>
      <c r="N864" s="36"/>
      <c r="O864" s="36"/>
      <c r="P864" s="32"/>
    </row>
    <row r="865" spans="1:16" ht="22.5" customHeight="1" x14ac:dyDescent="0.35">
      <c r="A865" s="52"/>
      <c r="B865" s="113" t="s">
        <v>1218</v>
      </c>
      <c r="C865" s="54" t="s">
        <v>1222</v>
      </c>
      <c r="D865" s="109">
        <v>2</v>
      </c>
      <c r="E865" s="110">
        <v>20</v>
      </c>
      <c r="F865" s="104">
        <v>35</v>
      </c>
      <c r="G865" s="105">
        <v>0</v>
      </c>
      <c r="H865" s="105">
        <v>0</v>
      </c>
      <c r="I865" s="110">
        <v>2</v>
      </c>
      <c r="J865" s="111">
        <v>0</v>
      </c>
      <c r="K865" s="111">
        <v>25</v>
      </c>
      <c r="L865" s="111">
        <v>0</v>
      </c>
      <c r="M865" s="104">
        <f t="shared" si="2"/>
        <v>1700</v>
      </c>
      <c r="N865" s="36"/>
      <c r="O865" s="36"/>
      <c r="P865" s="32"/>
    </row>
    <row r="866" spans="1:16" ht="22.5" customHeight="1" x14ac:dyDescent="0.35">
      <c r="A866" s="52"/>
      <c r="B866" s="113" t="s">
        <v>1223</v>
      </c>
      <c r="C866" s="54" t="s">
        <v>1224</v>
      </c>
      <c r="D866" s="109"/>
      <c r="E866" s="110"/>
      <c r="F866" s="104"/>
      <c r="G866" s="105"/>
      <c r="H866" s="105"/>
      <c r="I866" s="110"/>
      <c r="J866" s="111"/>
      <c r="K866" s="111"/>
      <c r="L866" s="111"/>
      <c r="M866" s="104"/>
      <c r="N866" s="36"/>
      <c r="O866" s="36"/>
      <c r="P866" s="32"/>
    </row>
    <row r="867" spans="1:16" ht="22.5" customHeight="1" x14ac:dyDescent="0.35">
      <c r="A867" s="114"/>
      <c r="B867" s="114" t="s">
        <v>107</v>
      </c>
      <c r="C867" s="115"/>
      <c r="D867" s="100"/>
      <c r="E867" s="101"/>
      <c r="F867" s="112"/>
      <c r="G867" s="112"/>
      <c r="H867" s="112"/>
      <c r="I867" s="101"/>
      <c r="J867" s="112"/>
      <c r="K867" s="112"/>
      <c r="L867" s="112"/>
      <c r="M867" s="112"/>
      <c r="N867" s="36"/>
      <c r="O867" s="36"/>
      <c r="P867" s="32"/>
    </row>
    <row r="868" spans="1:16" ht="22.5" customHeight="1" x14ac:dyDescent="0.35">
      <c r="A868" s="52"/>
      <c r="B868" s="48" t="s">
        <v>196</v>
      </c>
      <c r="D868" s="109">
        <v>1</v>
      </c>
      <c r="E868" s="110">
        <v>30</v>
      </c>
      <c r="F868" s="104">
        <v>0</v>
      </c>
      <c r="G868" s="105">
        <v>0</v>
      </c>
      <c r="H868" s="105">
        <v>0</v>
      </c>
      <c r="I868" s="110">
        <v>1</v>
      </c>
      <c r="J868" s="111">
        <v>0</v>
      </c>
      <c r="K868" s="111">
        <v>25</v>
      </c>
      <c r="L868" s="111">
        <v>50</v>
      </c>
      <c r="M868" s="104">
        <f t="shared" ref="M868:M873" si="5">(E868*F868)+(E868*G868*I868)+(E868*H868*I868)+(E868*J868*I868)+(E868*K868*I868)+(E868*L868)</f>
        <v>2250</v>
      </c>
      <c r="N868" s="36"/>
      <c r="O868" s="36"/>
      <c r="P868" s="32"/>
    </row>
    <row r="869" spans="1:16" ht="22.5" customHeight="1" x14ac:dyDescent="0.35">
      <c r="A869" s="52"/>
      <c r="B869" s="113" t="s">
        <v>1225</v>
      </c>
      <c r="C869" s="54" t="s">
        <v>1226</v>
      </c>
      <c r="D869" s="109">
        <v>0</v>
      </c>
      <c r="E869" s="110">
        <v>0</v>
      </c>
      <c r="F869" s="104">
        <v>0</v>
      </c>
      <c r="G869" s="105">
        <v>0</v>
      </c>
      <c r="H869" s="105">
        <v>0</v>
      </c>
      <c r="I869" s="110">
        <v>0</v>
      </c>
      <c r="J869" s="111">
        <v>0</v>
      </c>
      <c r="K869" s="111">
        <v>0</v>
      </c>
      <c r="L869" s="111">
        <v>0</v>
      </c>
      <c r="M869" s="104">
        <f t="shared" si="5"/>
        <v>0</v>
      </c>
      <c r="N869" s="36"/>
      <c r="O869" s="36"/>
      <c r="P869" s="32"/>
    </row>
    <row r="870" spans="1:16" ht="22.5" customHeight="1" x14ac:dyDescent="0.35">
      <c r="A870" s="52"/>
      <c r="B870" s="113" t="s">
        <v>1227</v>
      </c>
      <c r="C870" s="54" t="s">
        <v>1228</v>
      </c>
      <c r="D870" s="102">
        <v>2</v>
      </c>
      <c r="E870" s="103">
        <v>30</v>
      </c>
      <c r="F870" s="104">
        <v>0</v>
      </c>
      <c r="G870" s="105">
        <v>0</v>
      </c>
      <c r="H870" s="105">
        <v>0</v>
      </c>
      <c r="I870" s="103">
        <v>1</v>
      </c>
      <c r="J870" s="111">
        <v>0</v>
      </c>
      <c r="K870" s="111">
        <v>15</v>
      </c>
      <c r="L870" s="111">
        <v>50</v>
      </c>
      <c r="M870" s="104">
        <f t="shared" si="5"/>
        <v>1950</v>
      </c>
      <c r="N870" s="36"/>
      <c r="O870" s="36"/>
      <c r="P870" s="32"/>
    </row>
    <row r="871" spans="1:16" ht="22.5" customHeight="1" x14ac:dyDescent="0.35">
      <c r="A871" s="52"/>
      <c r="B871" s="113" t="s">
        <v>1229</v>
      </c>
      <c r="C871" s="54" t="s">
        <v>1230</v>
      </c>
      <c r="D871" s="102"/>
      <c r="E871" s="103"/>
      <c r="F871" s="104"/>
      <c r="G871" s="105"/>
      <c r="H871" s="105"/>
      <c r="I871" s="103"/>
      <c r="J871" s="111"/>
      <c r="K871" s="111"/>
      <c r="L871" s="111"/>
      <c r="M871" s="104"/>
      <c r="N871" s="36"/>
      <c r="O871" s="36"/>
      <c r="P871" s="32"/>
    </row>
    <row r="872" spans="1:16" ht="22.5" customHeight="1" x14ac:dyDescent="0.35">
      <c r="A872" s="114"/>
      <c r="B872" s="114" t="s">
        <v>108</v>
      </c>
      <c r="C872" s="115"/>
      <c r="D872" s="100"/>
      <c r="E872" s="101"/>
      <c r="F872" s="112"/>
      <c r="G872" s="112"/>
      <c r="H872" s="112"/>
      <c r="I872" s="101"/>
      <c r="J872" s="112"/>
      <c r="K872" s="112"/>
      <c r="L872" s="112"/>
      <c r="M872" s="112"/>
      <c r="N872" s="36"/>
      <c r="O872" s="36"/>
      <c r="P872" s="32"/>
    </row>
    <row r="873" spans="1:16" ht="22.5" customHeight="1" x14ac:dyDescent="0.35">
      <c r="A873" s="52"/>
      <c r="B873" s="48" t="s">
        <v>197</v>
      </c>
      <c r="D873" s="109">
        <v>1</v>
      </c>
      <c r="E873" s="103">
        <v>20</v>
      </c>
      <c r="F873" s="104">
        <v>0</v>
      </c>
      <c r="G873" s="105">
        <v>0</v>
      </c>
      <c r="H873" s="105">
        <v>0</v>
      </c>
      <c r="I873" s="110">
        <v>1</v>
      </c>
      <c r="J873" s="111">
        <v>0</v>
      </c>
      <c r="K873" s="111">
        <v>15</v>
      </c>
      <c r="L873" s="111">
        <v>50</v>
      </c>
      <c r="M873" s="104">
        <f t="shared" si="5"/>
        <v>1300</v>
      </c>
      <c r="N873" s="36"/>
      <c r="O873" s="36"/>
      <c r="P873" s="32"/>
    </row>
    <row r="874" spans="1:16" ht="22.5" customHeight="1" x14ac:dyDescent="0.35">
      <c r="A874" s="52"/>
      <c r="B874" s="113" t="s">
        <v>1231</v>
      </c>
      <c r="C874" s="54" t="s">
        <v>1232</v>
      </c>
      <c r="D874" s="109">
        <v>0</v>
      </c>
      <c r="E874" s="103">
        <v>0</v>
      </c>
      <c r="F874" s="104">
        <v>0</v>
      </c>
      <c r="G874" s="105">
        <v>0</v>
      </c>
      <c r="H874" s="105">
        <v>0</v>
      </c>
      <c r="I874" s="103">
        <v>0</v>
      </c>
      <c r="J874" s="106">
        <v>0</v>
      </c>
      <c r="K874" s="111">
        <v>0</v>
      </c>
      <c r="L874" s="111">
        <v>50</v>
      </c>
      <c r="M874" s="104">
        <f>(E874*F874)+(E874*G874*I874)+(E874*H874*I874)+(E874*J874*I874)+(E874*K874*I874)+(E874*L874)</f>
        <v>0</v>
      </c>
      <c r="N874" s="36"/>
      <c r="O874" s="36"/>
      <c r="P874" s="32"/>
    </row>
    <row r="875" spans="1:16" ht="22.5" customHeight="1" x14ac:dyDescent="0.35">
      <c r="A875" s="52"/>
      <c r="B875" s="113" t="s">
        <v>1233</v>
      </c>
      <c r="C875" s="54" t="s">
        <v>1234</v>
      </c>
      <c r="D875" s="109">
        <v>2</v>
      </c>
      <c r="E875" s="110">
        <v>30</v>
      </c>
      <c r="F875" s="104">
        <v>0</v>
      </c>
      <c r="G875" s="105">
        <v>0</v>
      </c>
      <c r="H875" s="105">
        <v>0</v>
      </c>
      <c r="I875" s="110">
        <v>1</v>
      </c>
      <c r="J875" s="111">
        <v>0</v>
      </c>
      <c r="K875" s="111">
        <v>15</v>
      </c>
      <c r="L875" s="111">
        <v>50</v>
      </c>
      <c r="M875" s="104">
        <f t="shared" ref="M875:M878" si="6">(E875*F875)+(E875*G875*I875)+(E875*H875*I875)+(E875*J875*I875)+(E875*K875*I875)+(E875*L875)</f>
        <v>1950</v>
      </c>
      <c r="N875" s="36"/>
      <c r="O875" s="36"/>
      <c r="P875" s="32"/>
    </row>
    <row r="876" spans="1:16" ht="22.5" customHeight="1" x14ac:dyDescent="0.35">
      <c r="A876" s="52"/>
      <c r="B876" s="113" t="s">
        <v>1235</v>
      </c>
      <c r="C876" s="54" t="s">
        <v>1236</v>
      </c>
      <c r="D876" s="109"/>
      <c r="E876" s="110"/>
      <c r="F876" s="104"/>
      <c r="G876" s="105"/>
      <c r="H876" s="105"/>
      <c r="I876" s="110"/>
      <c r="J876" s="111"/>
      <c r="K876" s="111"/>
      <c r="L876" s="111"/>
      <c r="M876" s="104"/>
      <c r="N876" s="36"/>
      <c r="O876" s="36"/>
      <c r="P876" s="32"/>
    </row>
    <row r="877" spans="1:16" ht="22.5" customHeight="1" x14ac:dyDescent="0.35">
      <c r="A877" s="114"/>
      <c r="B877" s="114" t="s">
        <v>110</v>
      </c>
      <c r="C877" s="115"/>
      <c r="D877" s="100"/>
      <c r="E877" s="101"/>
      <c r="F877" s="112"/>
      <c r="G877" s="112"/>
      <c r="H877" s="112"/>
      <c r="I877" s="101"/>
      <c r="J877" s="112"/>
      <c r="K877" s="112"/>
      <c r="L877" s="112"/>
      <c r="M877" s="112"/>
      <c r="N877" s="36"/>
      <c r="O877" s="36"/>
      <c r="P877" s="32"/>
    </row>
    <row r="878" spans="1:16" ht="22.5" customHeight="1" x14ac:dyDescent="0.35">
      <c r="A878" s="52"/>
      <c r="B878" s="48" t="s">
        <v>198</v>
      </c>
      <c r="D878" s="109">
        <v>1</v>
      </c>
      <c r="E878" s="110">
        <v>20</v>
      </c>
      <c r="F878" s="104">
        <v>0</v>
      </c>
      <c r="G878" s="105">
        <v>0</v>
      </c>
      <c r="H878" s="105">
        <v>0</v>
      </c>
      <c r="I878" s="110">
        <v>1</v>
      </c>
      <c r="J878" s="111">
        <v>0</v>
      </c>
      <c r="K878" s="111">
        <v>15</v>
      </c>
      <c r="L878" s="111">
        <v>50</v>
      </c>
      <c r="M878" s="104">
        <f t="shared" si="6"/>
        <v>1300</v>
      </c>
      <c r="N878" s="36"/>
      <c r="O878" s="36"/>
      <c r="P878" s="32"/>
    </row>
    <row r="879" spans="1:16" ht="22.5" customHeight="1" x14ac:dyDescent="0.35">
      <c r="A879" s="52"/>
      <c r="B879" s="113" t="s">
        <v>1237</v>
      </c>
      <c r="C879" s="54" t="s">
        <v>1238</v>
      </c>
      <c r="D879" s="109">
        <v>2</v>
      </c>
      <c r="E879" s="110">
        <v>50</v>
      </c>
      <c r="F879" s="104">
        <v>0</v>
      </c>
      <c r="G879" s="105">
        <v>0</v>
      </c>
      <c r="H879" s="105">
        <v>0</v>
      </c>
      <c r="I879" s="110">
        <v>1</v>
      </c>
      <c r="J879" s="111">
        <v>0</v>
      </c>
      <c r="K879" s="111">
        <v>15</v>
      </c>
      <c r="L879" s="111">
        <v>50</v>
      </c>
      <c r="M879" s="104">
        <f>(E879*F879)+(E879*G879*I879)+(E879*H879*I879)+(E879*J879*I879)+(E879*K879*I879)+(E879*L879)</f>
        <v>3250</v>
      </c>
      <c r="N879" s="36"/>
      <c r="O879" s="36"/>
      <c r="P879" s="32"/>
    </row>
    <row r="880" spans="1:16" ht="22.5" customHeight="1" x14ac:dyDescent="0.35">
      <c r="A880" s="52"/>
      <c r="B880" s="113" t="s">
        <v>1239</v>
      </c>
      <c r="C880" s="54" t="s">
        <v>1240</v>
      </c>
      <c r="D880" s="109"/>
      <c r="E880" s="110"/>
      <c r="F880" s="104"/>
      <c r="G880" s="105"/>
      <c r="H880" s="105"/>
      <c r="I880" s="110"/>
      <c r="J880" s="111"/>
      <c r="K880" s="111"/>
      <c r="L880" s="111"/>
      <c r="M880" s="104"/>
      <c r="N880" s="36"/>
      <c r="O880" s="36"/>
      <c r="P880" s="32"/>
    </row>
    <row r="881" spans="1:16" ht="22.5" customHeight="1" x14ac:dyDescent="0.35">
      <c r="A881" s="114"/>
      <c r="B881" s="114" t="s">
        <v>112</v>
      </c>
      <c r="C881" s="115"/>
      <c r="D881" s="100"/>
      <c r="E881" s="101"/>
      <c r="F881" s="112"/>
      <c r="G881" s="112"/>
      <c r="H881" s="112"/>
      <c r="I881" s="101"/>
      <c r="J881" s="112"/>
      <c r="K881" s="112"/>
      <c r="L881" s="112"/>
      <c r="M881" s="112"/>
      <c r="N881" s="36"/>
      <c r="O881" s="36"/>
      <c r="P881" s="32"/>
    </row>
    <row r="882" spans="1:16" ht="22.5" customHeight="1" x14ac:dyDescent="0.35">
      <c r="A882" s="52"/>
      <c r="B882" s="48" t="s">
        <v>199</v>
      </c>
      <c r="D882" s="109">
        <v>2</v>
      </c>
      <c r="E882" s="110">
        <v>20</v>
      </c>
      <c r="F882" s="104">
        <v>0</v>
      </c>
      <c r="G882" s="105">
        <v>0</v>
      </c>
      <c r="H882" s="105">
        <v>0</v>
      </c>
      <c r="I882" s="110">
        <v>1</v>
      </c>
      <c r="J882" s="111">
        <v>0</v>
      </c>
      <c r="K882" s="111">
        <v>15</v>
      </c>
      <c r="L882" s="111">
        <v>50</v>
      </c>
      <c r="M882" s="104">
        <f t="shared" ref="M882:M885" si="7">(E882*F882)+(E882*G882*I882)+(E882*H882*I882)+(E882*J882*I882)+(E882*K882*I882)+(E882*L882)</f>
        <v>1300</v>
      </c>
      <c r="N882" s="36"/>
      <c r="O882" s="36"/>
      <c r="P882" s="32"/>
    </row>
    <row r="883" spans="1:16" ht="22.5" customHeight="1" x14ac:dyDescent="0.35">
      <c r="A883" s="52"/>
      <c r="B883" s="116" t="s">
        <v>1241</v>
      </c>
      <c r="C883" s="54" t="s">
        <v>1242</v>
      </c>
      <c r="D883" s="109">
        <v>2</v>
      </c>
      <c r="E883" s="110">
        <v>25</v>
      </c>
      <c r="F883" s="104">
        <v>0</v>
      </c>
      <c r="G883" s="105">
        <v>0</v>
      </c>
      <c r="H883" s="105">
        <v>0</v>
      </c>
      <c r="I883" s="110">
        <v>2</v>
      </c>
      <c r="J883" s="111">
        <v>0</v>
      </c>
      <c r="K883" s="111">
        <v>25</v>
      </c>
      <c r="L883" s="111">
        <v>50</v>
      </c>
      <c r="M883" s="104">
        <f t="shared" si="7"/>
        <v>2500</v>
      </c>
      <c r="N883" s="36"/>
      <c r="O883" s="36"/>
      <c r="P883" s="32"/>
    </row>
    <row r="884" spans="1:16" ht="22.5" customHeight="1" x14ac:dyDescent="0.35">
      <c r="A884" s="52"/>
      <c r="B884" s="116" t="s">
        <v>1243</v>
      </c>
      <c r="C884" s="54" t="s">
        <v>1244</v>
      </c>
      <c r="D884" s="109">
        <v>2</v>
      </c>
      <c r="E884" s="110">
        <v>30</v>
      </c>
      <c r="F884" s="104">
        <v>0</v>
      </c>
      <c r="G884" s="105">
        <v>0</v>
      </c>
      <c r="H884" s="105">
        <v>0</v>
      </c>
      <c r="I884" s="110">
        <v>2</v>
      </c>
      <c r="J884" s="111">
        <v>0</v>
      </c>
      <c r="K884" s="111">
        <v>15</v>
      </c>
      <c r="L884" s="111">
        <v>30</v>
      </c>
      <c r="M884" s="104">
        <f t="shared" si="7"/>
        <v>1800</v>
      </c>
      <c r="N884" s="36"/>
      <c r="O884" s="36"/>
      <c r="P884" s="32"/>
    </row>
    <row r="885" spans="1:16" ht="22.5" customHeight="1" x14ac:dyDescent="0.35">
      <c r="A885" s="52"/>
      <c r="B885" s="116" t="s">
        <v>1245</v>
      </c>
      <c r="C885" s="54" t="s">
        <v>1246</v>
      </c>
      <c r="D885" s="109">
        <v>4</v>
      </c>
      <c r="E885" s="110">
        <v>20</v>
      </c>
      <c r="F885" s="104">
        <v>0</v>
      </c>
      <c r="G885" s="105">
        <v>0</v>
      </c>
      <c r="H885" s="105">
        <v>0</v>
      </c>
      <c r="I885" s="110">
        <v>1</v>
      </c>
      <c r="J885" s="111">
        <v>0</v>
      </c>
      <c r="K885" s="111">
        <v>15</v>
      </c>
      <c r="L885" s="111">
        <v>50</v>
      </c>
      <c r="M885" s="104">
        <f t="shared" si="7"/>
        <v>1300</v>
      </c>
      <c r="N885" s="36"/>
      <c r="O885" s="36"/>
      <c r="P885" s="32"/>
    </row>
    <row r="886" spans="1:16" ht="22.5" customHeight="1" x14ac:dyDescent="0.35">
      <c r="A886" s="52"/>
      <c r="B886" s="116" t="s">
        <v>1247</v>
      </c>
      <c r="C886" s="54" t="s">
        <v>1248</v>
      </c>
      <c r="D886" s="109"/>
      <c r="E886" s="110"/>
      <c r="F886" s="104"/>
      <c r="G886" s="105"/>
      <c r="H886" s="105"/>
      <c r="I886" s="110"/>
      <c r="J886" s="111"/>
      <c r="K886" s="111"/>
      <c r="L886" s="111"/>
      <c r="M886" s="104"/>
      <c r="N886" s="36"/>
      <c r="O886" s="36"/>
      <c r="P886" s="32"/>
    </row>
    <row r="887" spans="1:16" ht="22.5" customHeight="1" x14ac:dyDescent="0.35">
      <c r="A887" s="114"/>
      <c r="B887" s="114" t="s">
        <v>114</v>
      </c>
      <c r="C887" s="115"/>
      <c r="D887" s="100"/>
      <c r="E887" s="101"/>
      <c r="F887" s="112"/>
      <c r="G887" s="112"/>
      <c r="H887" s="112"/>
      <c r="I887" s="101"/>
      <c r="J887" s="112"/>
      <c r="K887" s="112"/>
      <c r="L887" s="112"/>
      <c r="M887" s="112"/>
      <c r="N887" s="36"/>
      <c r="O887" s="36"/>
      <c r="P887" s="32"/>
    </row>
    <row r="888" spans="1:16" ht="22.5" customHeight="1" x14ac:dyDescent="0.35">
      <c r="A888" s="52"/>
      <c r="B888" s="48" t="s">
        <v>200</v>
      </c>
      <c r="D888" s="109">
        <v>1</v>
      </c>
      <c r="E888" s="110">
        <v>50</v>
      </c>
      <c r="F888" s="104">
        <v>35</v>
      </c>
      <c r="G888" s="105">
        <v>0</v>
      </c>
      <c r="H888" s="105">
        <v>0</v>
      </c>
      <c r="I888" s="110">
        <v>1</v>
      </c>
      <c r="J888" s="111">
        <v>0</v>
      </c>
      <c r="K888" s="111">
        <v>15</v>
      </c>
      <c r="L888" s="111">
        <v>100</v>
      </c>
      <c r="M888" s="104">
        <f t="shared" ref="M888:M892" si="8">(E888*F888)+(E888*G888*I888)+(E888*H888*I888)+(E888*J888*I888)+(E888*K888*I888)+(E888*L888)</f>
        <v>7500</v>
      </c>
      <c r="N888" s="36"/>
      <c r="O888" s="36"/>
      <c r="P888" s="32"/>
    </row>
    <row r="889" spans="1:16" ht="22.5" customHeight="1" x14ac:dyDescent="0.35">
      <c r="A889" s="52"/>
      <c r="B889" s="116" t="s">
        <v>1249</v>
      </c>
      <c r="C889" s="54" t="s">
        <v>1250</v>
      </c>
      <c r="D889" s="109">
        <v>1</v>
      </c>
      <c r="E889" s="110">
        <v>50</v>
      </c>
      <c r="F889" s="104">
        <v>35</v>
      </c>
      <c r="G889" s="105">
        <v>0</v>
      </c>
      <c r="H889" s="105">
        <v>0</v>
      </c>
      <c r="I889" s="110">
        <v>1</v>
      </c>
      <c r="J889" s="111">
        <v>0</v>
      </c>
      <c r="K889" s="111">
        <v>15</v>
      </c>
      <c r="L889" s="111">
        <v>100</v>
      </c>
      <c r="M889" s="104">
        <f t="shared" si="8"/>
        <v>7500</v>
      </c>
      <c r="N889" s="36"/>
      <c r="O889" s="36"/>
      <c r="P889" s="32"/>
    </row>
    <row r="890" spans="1:16" ht="22.5" customHeight="1" x14ac:dyDescent="0.35">
      <c r="A890" s="52"/>
      <c r="B890" s="116" t="s">
        <v>1251</v>
      </c>
      <c r="C890" s="54" t="s">
        <v>1252</v>
      </c>
      <c r="D890" s="109"/>
      <c r="E890" s="110"/>
      <c r="F890" s="104"/>
      <c r="G890" s="105"/>
      <c r="H890" s="105"/>
      <c r="I890" s="110"/>
      <c r="J890" s="111"/>
      <c r="K890" s="111"/>
      <c r="L890" s="111"/>
      <c r="M890" s="104"/>
      <c r="N890" s="36"/>
      <c r="O890" s="36"/>
      <c r="P890" s="32"/>
    </row>
    <row r="891" spans="1:16" ht="22.5" customHeight="1" x14ac:dyDescent="0.35">
      <c r="A891" s="114"/>
      <c r="B891" s="114" t="s">
        <v>116</v>
      </c>
      <c r="C891" s="115"/>
      <c r="D891" s="100"/>
      <c r="E891" s="117"/>
      <c r="F891" s="112"/>
      <c r="G891" s="112"/>
      <c r="H891" s="112"/>
      <c r="I891" s="101"/>
      <c r="J891" s="112"/>
      <c r="K891" s="112"/>
      <c r="L891" s="112"/>
      <c r="M891" s="112"/>
      <c r="N891" s="36"/>
      <c r="O891" s="36"/>
      <c r="P891" s="32"/>
    </row>
    <row r="892" spans="1:16" ht="22.5" customHeight="1" x14ac:dyDescent="0.35">
      <c r="A892" s="52"/>
      <c r="B892" s="61" t="s">
        <v>201</v>
      </c>
      <c r="D892" s="109">
        <v>1</v>
      </c>
      <c r="E892" s="110">
        <v>50</v>
      </c>
      <c r="F892" s="104">
        <v>35</v>
      </c>
      <c r="G892" s="105">
        <v>0</v>
      </c>
      <c r="H892" s="105">
        <v>0</v>
      </c>
      <c r="I892" s="110">
        <v>5</v>
      </c>
      <c r="J892" s="111">
        <v>15</v>
      </c>
      <c r="K892" s="111">
        <v>25</v>
      </c>
      <c r="L892" s="111">
        <v>15</v>
      </c>
      <c r="M892" s="104">
        <f t="shared" si="8"/>
        <v>12500</v>
      </c>
      <c r="N892" s="36"/>
      <c r="O892" s="36"/>
      <c r="P892" s="32"/>
    </row>
    <row r="893" spans="1:16" ht="22.5" customHeight="1" x14ac:dyDescent="0.3">
      <c r="A893" s="52"/>
      <c r="B893" s="118" t="s">
        <v>1253</v>
      </c>
      <c r="C893" s="54" t="s">
        <v>1254</v>
      </c>
      <c r="D893" s="109"/>
      <c r="E893" s="110"/>
      <c r="F893" s="104"/>
      <c r="G893" s="105"/>
      <c r="H893" s="105"/>
      <c r="I893" s="110"/>
      <c r="J893" s="111"/>
      <c r="K893" s="111"/>
      <c r="L893" s="111"/>
      <c r="M893" s="104"/>
      <c r="N893" s="36"/>
      <c r="O893" s="36"/>
      <c r="P893" s="32"/>
    </row>
    <row r="894" spans="1:16" ht="22.5" customHeight="1" x14ac:dyDescent="0.35">
      <c r="A894" s="114"/>
      <c r="B894" s="114" t="s">
        <v>118</v>
      </c>
      <c r="C894" s="115"/>
      <c r="D894" s="100"/>
      <c r="E894" s="101"/>
      <c r="F894" s="112"/>
      <c r="G894" s="112"/>
      <c r="H894" s="112"/>
      <c r="I894" s="101"/>
      <c r="J894" s="112"/>
      <c r="K894" s="112"/>
      <c r="L894" s="112"/>
      <c r="M894" s="112"/>
      <c r="N894" s="36"/>
      <c r="O894" s="36"/>
      <c r="P894" s="32"/>
    </row>
    <row r="895" spans="1:16" ht="22.5" customHeight="1" x14ac:dyDescent="0.35">
      <c r="A895" s="52"/>
      <c r="B895" s="48" t="s">
        <v>202</v>
      </c>
      <c r="D895" s="109">
        <v>1</v>
      </c>
      <c r="E895" s="110">
        <v>10</v>
      </c>
      <c r="F895" s="104">
        <v>0</v>
      </c>
      <c r="G895" s="105">
        <v>0</v>
      </c>
      <c r="H895" s="105">
        <v>0</v>
      </c>
      <c r="I895" s="110">
        <v>1</v>
      </c>
      <c r="J895" s="111">
        <v>0</v>
      </c>
      <c r="K895" s="111">
        <v>25</v>
      </c>
      <c r="L895" s="111">
        <v>15</v>
      </c>
      <c r="M895" s="104">
        <f t="shared" ref="M895:M896" si="9">(E895*F895)+(E895*G895*I895)+(E895*H895*I895)+(E895*J895*I895)+(E895*K895*I895)+(E895*L895)</f>
        <v>400</v>
      </c>
      <c r="N895" s="36"/>
      <c r="O895" s="36"/>
      <c r="P895" s="32"/>
    </row>
    <row r="896" spans="1:16" ht="22.5" customHeight="1" x14ac:dyDescent="0.35">
      <c r="A896" s="52"/>
      <c r="B896" s="116" t="s">
        <v>1255</v>
      </c>
      <c r="C896" s="54" t="s">
        <v>1256</v>
      </c>
      <c r="D896" s="109">
        <v>1</v>
      </c>
      <c r="E896" s="110">
        <v>50</v>
      </c>
      <c r="F896" s="104">
        <v>35</v>
      </c>
      <c r="G896" s="105">
        <v>0</v>
      </c>
      <c r="H896" s="105">
        <v>0</v>
      </c>
      <c r="I896" s="110">
        <v>5</v>
      </c>
      <c r="J896" s="111">
        <v>15</v>
      </c>
      <c r="K896" s="111">
        <v>25</v>
      </c>
      <c r="L896" s="111">
        <v>15</v>
      </c>
      <c r="M896" s="104">
        <f t="shared" si="9"/>
        <v>12500</v>
      </c>
      <c r="N896" s="36"/>
      <c r="O896" s="36"/>
      <c r="P896" s="32"/>
    </row>
    <row r="897" spans="1:16" ht="22.5" customHeight="1" x14ac:dyDescent="0.35">
      <c r="A897" s="52"/>
      <c r="B897" s="113" t="s">
        <v>1257</v>
      </c>
      <c r="C897" s="54" t="s">
        <v>1258</v>
      </c>
      <c r="D897" s="109"/>
      <c r="E897" s="110"/>
      <c r="F897" s="104"/>
      <c r="G897" s="105"/>
      <c r="H897" s="105"/>
      <c r="I897" s="110"/>
      <c r="J897" s="111"/>
      <c r="K897" s="111"/>
      <c r="L897" s="111"/>
      <c r="M897" s="104"/>
      <c r="N897" s="36"/>
      <c r="O897" s="36"/>
      <c r="P897" s="32"/>
    </row>
    <row r="898" spans="1:16" ht="22.5" customHeight="1" x14ac:dyDescent="0.35">
      <c r="A898" s="114"/>
      <c r="B898" s="114" t="s">
        <v>120</v>
      </c>
      <c r="C898" s="115"/>
      <c r="D898" s="100"/>
      <c r="E898" s="101"/>
      <c r="F898" s="112"/>
      <c r="G898" s="112"/>
      <c r="H898" s="112"/>
      <c r="I898" s="101"/>
      <c r="J898" s="112"/>
      <c r="K898" s="112"/>
      <c r="L898" s="112"/>
      <c r="M898" s="112"/>
      <c r="N898" s="36"/>
      <c r="O898" s="36"/>
      <c r="P898" s="32"/>
    </row>
    <row r="899" spans="1:16" ht="22.5" customHeight="1" x14ac:dyDescent="0.35">
      <c r="A899" s="52"/>
      <c r="B899" s="48" t="s">
        <v>203</v>
      </c>
      <c r="D899" s="109">
        <v>1</v>
      </c>
      <c r="E899" s="103">
        <v>5</v>
      </c>
      <c r="F899" s="104">
        <v>0</v>
      </c>
      <c r="G899" s="105">
        <v>0</v>
      </c>
      <c r="H899" s="105">
        <v>0</v>
      </c>
      <c r="I899" s="103">
        <v>1</v>
      </c>
      <c r="J899" s="106">
        <v>0</v>
      </c>
      <c r="K899" s="111">
        <v>0</v>
      </c>
      <c r="L899" s="111">
        <v>100</v>
      </c>
      <c r="M899" s="104">
        <f>(E899*F899)+(E899*G899*I899)+(E899*H899*I899)+(E899*J899*I899)+(E899*K899*I899)+(E899*L899)</f>
        <v>500</v>
      </c>
      <c r="N899" s="36"/>
      <c r="O899" s="36"/>
      <c r="P899" s="32"/>
    </row>
    <row r="900" spans="1:16" ht="22.5" customHeight="1" x14ac:dyDescent="0.35">
      <c r="A900" s="52"/>
      <c r="B900" s="113" t="s">
        <v>1259</v>
      </c>
      <c r="C900" s="54" t="s">
        <v>1260</v>
      </c>
      <c r="D900" s="109">
        <v>1</v>
      </c>
      <c r="E900" s="110">
        <v>50</v>
      </c>
      <c r="F900" s="104">
        <v>35</v>
      </c>
      <c r="G900" s="105">
        <v>0</v>
      </c>
      <c r="H900" s="105">
        <v>0</v>
      </c>
      <c r="I900" s="110">
        <v>5</v>
      </c>
      <c r="J900" s="111">
        <v>15</v>
      </c>
      <c r="K900" s="111">
        <v>25</v>
      </c>
      <c r="L900" s="111">
        <v>15</v>
      </c>
      <c r="M900" s="104">
        <f t="shared" ref="M900:M901" si="10">(E900*F900)+(E900*G900*I900)+(E900*H900*I900)+(E900*J900*I900)+(E900*K900*I900)+(E900*L900)</f>
        <v>12500</v>
      </c>
      <c r="N900" s="36"/>
      <c r="O900" s="36"/>
      <c r="P900" s="32"/>
    </row>
    <row r="901" spans="1:16" ht="22.5" customHeight="1" x14ac:dyDescent="0.35">
      <c r="A901" s="52"/>
      <c r="B901" s="116" t="s">
        <v>1261</v>
      </c>
      <c r="C901" s="54" t="s">
        <v>1262</v>
      </c>
      <c r="D901" s="109">
        <v>4</v>
      </c>
      <c r="E901" s="110">
        <v>30</v>
      </c>
      <c r="F901" s="104">
        <v>35</v>
      </c>
      <c r="G901" s="105">
        <v>0</v>
      </c>
      <c r="H901" s="105">
        <v>0</v>
      </c>
      <c r="I901" s="110">
        <v>1</v>
      </c>
      <c r="J901" s="111">
        <v>0</v>
      </c>
      <c r="K901" s="111">
        <v>25</v>
      </c>
      <c r="L901" s="111">
        <v>15</v>
      </c>
      <c r="M901" s="104">
        <f t="shared" si="10"/>
        <v>2250</v>
      </c>
      <c r="N901" s="36"/>
      <c r="O901" s="36"/>
      <c r="P901" s="32"/>
    </row>
    <row r="902" spans="1:16" ht="22.5" customHeight="1" x14ac:dyDescent="0.35">
      <c r="A902" s="52"/>
      <c r="B902" s="116" t="s">
        <v>1263</v>
      </c>
      <c r="C902" s="54" t="s">
        <v>1264</v>
      </c>
      <c r="D902" s="109"/>
      <c r="E902" s="110"/>
      <c r="F902" s="104"/>
      <c r="G902" s="105"/>
      <c r="H902" s="105"/>
      <c r="I902" s="110"/>
      <c r="J902" s="111"/>
      <c r="K902" s="111"/>
      <c r="L902" s="111"/>
      <c r="M902" s="104"/>
      <c r="N902" s="36"/>
      <c r="O902" s="36"/>
      <c r="P902" s="32"/>
    </row>
    <row r="903" spans="1:16" ht="22.5" customHeight="1" x14ac:dyDescent="0.35">
      <c r="A903" s="114"/>
      <c r="B903" s="114" t="s">
        <v>122</v>
      </c>
      <c r="C903" s="115"/>
      <c r="D903" s="100"/>
      <c r="E903" s="101"/>
      <c r="F903" s="112"/>
      <c r="G903" s="112"/>
      <c r="H903" s="112"/>
      <c r="I903" s="101"/>
      <c r="J903" s="112"/>
      <c r="K903" s="112"/>
      <c r="L903" s="112"/>
      <c r="M903" s="112"/>
      <c r="N903" s="36"/>
      <c r="O903" s="36"/>
      <c r="P903" s="32"/>
    </row>
    <row r="904" spans="1:16" ht="22.5" customHeight="1" x14ac:dyDescent="0.35">
      <c r="A904" s="52"/>
      <c r="B904" s="48" t="s">
        <v>204</v>
      </c>
      <c r="D904" s="109">
        <v>1</v>
      </c>
      <c r="E904" s="103">
        <v>5</v>
      </c>
      <c r="F904" s="104">
        <v>0</v>
      </c>
      <c r="G904" s="105">
        <v>0</v>
      </c>
      <c r="H904" s="105">
        <v>0</v>
      </c>
      <c r="I904" s="103">
        <v>1</v>
      </c>
      <c r="J904" s="106">
        <v>0</v>
      </c>
      <c r="K904" s="111">
        <v>0</v>
      </c>
      <c r="L904" s="111">
        <v>100</v>
      </c>
      <c r="M904" s="104">
        <f>(E904*F904)+(E904*G904*I904)+(E904*H904*I904)+(E904*J904*I904)+(E904*K904*I904)+(E904*L904)</f>
        <v>500</v>
      </c>
      <c r="N904" s="36"/>
      <c r="O904" s="36"/>
      <c r="P904" s="32"/>
    </row>
    <row r="905" spans="1:16" ht="22.5" customHeight="1" x14ac:dyDescent="0.35">
      <c r="A905" s="52"/>
      <c r="B905" s="116" t="s">
        <v>1265</v>
      </c>
      <c r="C905" s="54" t="s">
        <v>1266</v>
      </c>
      <c r="D905" s="109">
        <v>4</v>
      </c>
      <c r="E905" s="110">
        <v>50</v>
      </c>
      <c r="F905" s="104">
        <v>0</v>
      </c>
      <c r="G905" s="105">
        <v>0</v>
      </c>
      <c r="H905" s="105">
        <v>0</v>
      </c>
      <c r="I905" s="110">
        <v>2</v>
      </c>
      <c r="J905" s="111">
        <v>0</v>
      </c>
      <c r="K905" s="111">
        <v>25</v>
      </c>
      <c r="L905" s="111">
        <v>15</v>
      </c>
      <c r="M905" s="104">
        <f t="shared" ref="M905" si="11">(E905*F905)+(E905*G905*I905)+(E905*H905*I905)+(E905*J905*I905)+(E905*K905*I905)+(E905*L905)</f>
        <v>3250</v>
      </c>
      <c r="N905" s="36"/>
      <c r="O905" s="36"/>
      <c r="P905" s="32"/>
    </row>
    <row r="906" spans="1:16" ht="22.5" customHeight="1" x14ac:dyDescent="0.35">
      <c r="A906" s="52"/>
      <c r="B906" s="116" t="s">
        <v>1267</v>
      </c>
      <c r="C906" s="54" t="s">
        <v>1268</v>
      </c>
      <c r="D906" s="109"/>
      <c r="E906" s="110"/>
      <c r="F906" s="104"/>
      <c r="G906" s="105"/>
      <c r="H906" s="105"/>
      <c r="I906" s="110"/>
      <c r="J906" s="111"/>
      <c r="K906" s="111"/>
      <c r="L906" s="111"/>
      <c r="M906" s="104"/>
      <c r="N906" s="36"/>
      <c r="O906" s="36"/>
      <c r="P906" s="32"/>
    </row>
    <row r="907" spans="1:16" ht="22.5" customHeight="1" x14ac:dyDescent="0.35">
      <c r="A907" s="92"/>
      <c r="B907" s="92" t="s">
        <v>29</v>
      </c>
      <c r="C907" s="93"/>
      <c r="D907" s="100"/>
      <c r="E907" s="101"/>
      <c r="F907" s="112"/>
      <c r="G907" s="112"/>
      <c r="H907" s="112"/>
      <c r="I907" s="101"/>
      <c r="J907" s="112"/>
      <c r="K907" s="112"/>
      <c r="L907" s="112"/>
      <c r="M907" s="112"/>
      <c r="N907" s="36"/>
      <c r="O907" s="36"/>
      <c r="P907" s="32"/>
    </row>
    <row r="908" spans="1:16" ht="22.5" customHeight="1" x14ac:dyDescent="0.35">
      <c r="A908" s="119"/>
      <c r="B908" s="119" t="s">
        <v>125</v>
      </c>
      <c r="C908" s="120"/>
      <c r="D908" s="100"/>
      <c r="E908" s="101"/>
      <c r="F908" s="112"/>
      <c r="G908" s="112"/>
      <c r="H908" s="112"/>
      <c r="I908" s="101"/>
      <c r="J908" s="112"/>
      <c r="K908" s="112"/>
      <c r="L908" s="112"/>
      <c r="M908" s="112"/>
      <c r="N908" s="36"/>
      <c r="O908" s="36"/>
      <c r="P908" s="32"/>
    </row>
    <row r="909" spans="1:16" ht="22.5" customHeight="1" x14ac:dyDescent="0.35">
      <c r="A909" s="52"/>
      <c r="B909" s="48" t="s">
        <v>205</v>
      </c>
      <c r="D909" s="109">
        <v>2</v>
      </c>
      <c r="E909" s="110">
        <v>30</v>
      </c>
      <c r="F909" s="104">
        <v>0</v>
      </c>
      <c r="G909" s="105">
        <v>0</v>
      </c>
      <c r="H909" s="105">
        <v>0</v>
      </c>
      <c r="I909" s="110">
        <v>2</v>
      </c>
      <c r="J909" s="111">
        <v>0</v>
      </c>
      <c r="K909" s="111">
        <v>15</v>
      </c>
      <c r="L909" s="111">
        <v>50</v>
      </c>
      <c r="M909" s="104">
        <f t="shared" ref="M909:M915" si="12">(E909*F909)+(E909*G909*I909)+(E909*H909*I909)+(E909*J909*I909)+(E909*K909*I909)+(E909*L909)</f>
        <v>2400</v>
      </c>
      <c r="N909" s="36"/>
      <c r="O909" s="36"/>
      <c r="P909" s="32"/>
    </row>
    <row r="910" spans="1:16" ht="22.5" customHeight="1" x14ac:dyDescent="0.35">
      <c r="A910" s="52"/>
      <c r="B910" s="113" t="s">
        <v>1269</v>
      </c>
      <c r="C910" s="54" t="s">
        <v>1270</v>
      </c>
      <c r="D910" s="109">
        <v>1</v>
      </c>
      <c r="E910" s="110">
        <v>100</v>
      </c>
      <c r="F910" s="104">
        <v>0</v>
      </c>
      <c r="G910" s="105">
        <v>0</v>
      </c>
      <c r="H910" s="105">
        <v>0</v>
      </c>
      <c r="I910" s="110">
        <v>1</v>
      </c>
      <c r="J910" s="111">
        <v>0</v>
      </c>
      <c r="K910" s="111">
        <v>0</v>
      </c>
      <c r="L910" s="111">
        <v>20</v>
      </c>
      <c r="M910" s="104">
        <f t="shared" si="12"/>
        <v>2000</v>
      </c>
      <c r="N910" s="36"/>
      <c r="O910" s="36"/>
      <c r="P910" s="32"/>
    </row>
    <row r="911" spans="1:16" ht="22.5" customHeight="1" x14ac:dyDescent="0.35">
      <c r="A911" s="52"/>
      <c r="B911" s="113" t="s">
        <v>1271</v>
      </c>
      <c r="C911" s="54" t="s">
        <v>1272</v>
      </c>
      <c r="D911" s="109">
        <v>1</v>
      </c>
      <c r="E911" s="110">
        <v>10</v>
      </c>
      <c r="F911" s="104">
        <v>0</v>
      </c>
      <c r="G911" s="105">
        <v>0</v>
      </c>
      <c r="H911" s="105">
        <v>0</v>
      </c>
      <c r="I911" s="110">
        <v>1</v>
      </c>
      <c r="J911" s="111">
        <v>0</v>
      </c>
      <c r="K911" s="111">
        <v>0</v>
      </c>
      <c r="L911" s="111">
        <v>50</v>
      </c>
      <c r="M911" s="104">
        <f t="shared" si="12"/>
        <v>500</v>
      </c>
      <c r="N911" s="36"/>
      <c r="O911" s="36"/>
      <c r="P911" s="32"/>
    </row>
    <row r="912" spans="1:16" ht="22.5" customHeight="1" x14ac:dyDescent="0.35">
      <c r="A912" s="52"/>
      <c r="B912" s="113" t="s">
        <v>1273</v>
      </c>
      <c r="C912" s="54" t="s">
        <v>1274</v>
      </c>
      <c r="D912" s="109">
        <v>1</v>
      </c>
      <c r="E912" s="110">
        <v>5</v>
      </c>
      <c r="F912" s="104">
        <v>0</v>
      </c>
      <c r="G912" s="105">
        <v>0</v>
      </c>
      <c r="H912" s="105">
        <v>0</v>
      </c>
      <c r="I912" s="110">
        <v>1</v>
      </c>
      <c r="J912" s="111">
        <v>0</v>
      </c>
      <c r="K912" s="111">
        <v>0</v>
      </c>
      <c r="L912" s="111">
        <v>50</v>
      </c>
      <c r="M912" s="104">
        <f t="shared" si="12"/>
        <v>250</v>
      </c>
      <c r="N912" s="36"/>
      <c r="O912" s="36"/>
      <c r="P912" s="32"/>
    </row>
    <row r="913" spans="1:16" ht="22.5" customHeight="1" x14ac:dyDescent="0.35">
      <c r="A913" s="52"/>
      <c r="B913" s="113" t="s">
        <v>1275</v>
      </c>
      <c r="C913" s="54" t="s">
        <v>1276</v>
      </c>
      <c r="D913" s="109">
        <v>1</v>
      </c>
      <c r="E913" s="110">
        <v>5</v>
      </c>
      <c r="F913" s="104">
        <v>0</v>
      </c>
      <c r="G913" s="105">
        <v>0</v>
      </c>
      <c r="H913" s="105">
        <v>0</v>
      </c>
      <c r="I913" s="110">
        <v>1</v>
      </c>
      <c r="J913" s="111">
        <v>0</v>
      </c>
      <c r="K913" s="111">
        <v>0</v>
      </c>
      <c r="L913" s="111">
        <v>50</v>
      </c>
      <c r="M913" s="104">
        <f t="shared" si="12"/>
        <v>250</v>
      </c>
      <c r="N913" s="36"/>
      <c r="O913" s="36"/>
      <c r="P913" s="32"/>
    </row>
    <row r="914" spans="1:16" ht="22.5" customHeight="1" x14ac:dyDescent="0.35">
      <c r="A914" s="52"/>
      <c r="B914" s="113" t="s">
        <v>1277</v>
      </c>
      <c r="C914" s="54" t="s">
        <v>1278</v>
      </c>
      <c r="D914" s="109">
        <v>2</v>
      </c>
      <c r="E914" s="110">
        <v>10</v>
      </c>
      <c r="F914" s="104">
        <v>35</v>
      </c>
      <c r="G914" s="105">
        <v>0</v>
      </c>
      <c r="H914" s="105">
        <v>0</v>
      </c>
      <c r="I914" s="110">
        <v>5</v>
      </c>
      <c r="J914" s="111">
        <v>15</v>
      </c>
      <c r="K914" s="111">
        <v>25</v>
      </c>
      <c r="L914" s="111">
        <v>15</v>
      </c>
      <c r="M914" s="104">
        <f t="shared" si="12"/>
        <v>2500</v>
      </c>
      <c r="N914" s="36"/>
      <c r="O914" s="36"/>
      <c r="P914" s="32"/>
    </row>
    <row r="915" spans="1:16" ht="22.5" customHeight="1" x14ac:dyDescent="0.35">
      <c r="A915" s="52"/>
      <c r="B915" s="113" t="s">
        <v>1279</v>
      </c>
      <c r="C915" s="54" t="s">
        <v>1280</v>
      </c>
      <c r="D915" s="109">
        <v>2</v>
      </c>
      <c r="E915" s="110">
        <v>10</v>
      </c>
      <c r="F915" s="104">
        <v>0</v>
      </c>
      <c r="G915" s="105">
        <v>0</v>
      </c>
      <c r="H915" s="105">
        <v>0</v>
      </c>
      <c r="I915" s="110">
        <v>1</v>
      </c>
      <c r="J915" s="111">
        <v>0</v>
      </c>
      <c r="K915" s="111">
        <v>25</v>
      </c>
      <c r="L915" s="111">
        <v>15</v>
      </c>
      <c r="M915" s="104">
        <f t="shared" si="12"/>
        <v>400</v>
      </c>
      <c r="N915" s="36"/>
      <c r="O915" s="36"/>
      <c r="P915" s="32"/>
    </row>
    <row r="916" spans="1:16" ht="22.5" customHeight="1" x14ac:dyDescent="0.35">
      <c r="A916" s="52"/>
      <c r="B916" s="113" t="s">
        <v>1281</v>
      </c>
      <c r="C916" s="54" t="s">
        <v>1282</v>
      </c>
      <c r="D916" s="102">
        <v>3</v>
      </c>
      <c r="E916" s="103">
        <v>20</v>
      </c>
      <c r="F916" s="104">
        <v>0</v>
      </c>
      <c r="G916" s="105">
        <v>0</v>
      </c>
      <c r="H916" s="105">
        <v>0</v>
      </c>
      <c r="I916" s="103">
        <v>1</v>
      </c>
      <c r="J916" s="111">
        <v>0</v>
      </c>
      <c r="K916" s="111">
        <v>15</v>
      </c>
      <c r="L916" s="111">
        <v>0</v>
      </c>
      <c r="M916" s="104">
        <f>(E916*F916)+(E916*G916*I916)+(E916*H916*I916)+(E916*J916*I916)+(E916*K916*I916)+(E916*L916)</f>
        <v>300</v>
      </c>
      <c r="N916" s="36"/>
      <c r="O916" s="36"/>
      <c r="P916" s="32"/>
    </row>
    <row r="917" spans="1:16" ht="22.5" customHeight="1" x14ac:dyDescent="0.35">
      <c r="A917" s="52"/>
      <c r="B917" s="113" t="s">
        <v>1283</v>
      </c>
      <c r="C917" s="54" t="s">
        <v>1284</v>
      </c>
      <c r="D917" s="102">
        <v>3</v>
      </c>
      <c r="E917" s="103">
        <v>5</v>
      </c>
      <c r="F917" s="104">
        <v>0</v>
      </c>
      <c r="G917" s="105">
        <v>0</v>
      </c>
      <c r="H917" s="105">
        <v>0</v>
      </c>
      <c r="I917" s="103">
        <v>1</v>
      </c>
      <c r="J917" s="111">
        <v>0</v>
      </c>
      <c r="K917" s="111">
        <v>15</v>
      </c>
      <c r="L917" s="111">
        <v>0</v>
      </c>
      <c r="M917" s="104">
        <f t="shared" ref="M917:M919" si="13">(E917*F917)+(E917*G917*I917)+(E917*H917*I917)+(E917*J917*I917)+(E917*K917*I917)+(E917*L917)</f>
        <v>75</v>
      </c>
      <c r="N917" s="36"/>
      <c r="O917" s="36"/>
      <c r="P917" s="32"/>
    </row>
    <row r="918" spans="1:16" ht="22.5" customHeight="1" x14ac:dyDescent="0.35">
      <c r="A918" s="52"/>
      <c r="B918" s="113" t="s">
        <v>1285</v>
      </c>
      <c r="C918" s="54" t="s">
        <v>1286</v>
      </c>
      <c r="D918" s="109">
        <v>4</v>
      </c>
      <c r="E918" s="103">
        <v>5</v>
      </c>
      <c r="F918" s="104">
        <v>0</v>
      </c>
      <c r="G918" s="105">
        <v>0</v>
      </c>
      <c r="H918" s="105">
        <v>0</v>
      </c>
      <c r="I918" s="110">
        <v>2</v>
      </c>
      <c r="J918" s="111">
        <v>0</v>
      </c>
      <c r="K918" s="111">
        <v>15</v>
      </c>
      <c r="L918" s="111">
        <v>50</v>
      </c>
      <c r="M918" s="104">
        <f t="shared" si="13"/>
        <v>400</v>
      </c>
      <c r="N918" s="36"/>
      <c r="O918" s="36"/>
      <c r="P918" s="32"/>
    </row>
    <row r="919" spans="1:16" ht="22.5" customHeight="1" x14ac:dyDescent="0.35">
      <c r="A919" s="52"/>
      <c r="B919" s="113" t="s">
        <v>1287</v>
      </c>
      <c r="C919" s="54" t="s">
        <v>1288</v>
      </c>
      <c r="D919" s="109">
        <v>4</v>
      </c>
      <c r="E919" s="103">
        <v>20</v>
      </c>
      <c r="F919" s="104">
        <v>0</v>
      </c>
      <c r="G919" s="105">
        <v>0</v>
      </c>
      <c r="H919" s="105">
        <v>0</v>
      </c>
      <c r="I919" s="110">
        <v>1</v>
      </c>
      <c r="J919" s="111">
        <v>0</v>
      </c>
      <c r="K919" s="111">
        <v>15</v>
      </c>
      <c r="L919" s="111">
        <v>50</v>
      </c>
      <c r="M919" s="104">
        <f t="shared" si="13"/>
        <v>1300</v>
      </c>
      <c r="N919" s="36"/>
      <c r="O919" s="36"/>
      <c r="P919" s="32"/>
    </row>
    <row r="920" spans="1:16" ht="22.5" customHeight="1" x14ac:dyDescent="0.35">
      <c r="A920" s="52"/>
      <c r="B920" s="113" t="s">
        <v>1289</v>
      </c>
      <c r="C920" s="54" t="s">
        <v>1290</v>
      </c>
      <c r="D920" s="109">
        <v>4</v>
      </c>
      <c r="E920" s="103">
        <v>50</v>
      </c>
      <c r="F920" s="104">
        <v>0</v>
      </c>
      <c r="G920" s="105">
        <v>0</v>
      </c>
      <c r="H920" s="105">
        <v>0</v>
      </c>
      <c r="I920" s="103">
        <v>1</v>
      </c>
      <c r="J920" s="106">
        <v>0</v>
      </c>
      <c r="K920" s="111">
        <v>0</v>
      </c>
      <c r="L920" s="111">
        <v>10</v>
      </c>
      <c r="M920" s="104">
        <f>(E920*F920)+(E920*G920*I920)+(E920*H920*I920)+(E920*J920*I920)+(E920*K920*I920)+(E920*L920)</f>
        <v>500</v>
      </c>
      <c r="N920" s="36"/>
      <c r="O920" s="36"/>
      <c r="P920" s="32"/>
    </row>
    <row r="921" spans="1:16" ht="22.5" customHeight="1" x14ac:dyDescent="0.35">
      <c r="A921" s="52"/>
      <c r="B921" s="113" t="s">
        <v>1291</v>
      </c>
      <c r="C921" s="54" t="s">
        <v>1292</v>
      </c>
      <c r="D921" s="109"/>
      <c r="E921" s="103"/>
      <c r="F921" s="104"/>
      <c r="G921" s="105"/>
      <c r="H921" s="105"/>
      <c r="I921" s="103"/>
      <c r="J921" s="106"/>
      <c r="K921" s="111"/>
      <c r="L921" s="111"/>
      <c r="M921" s="104"/>
      <c r="N921" s="36"/>
      <c r="O921" s="36"/>
      <c r="P921" s="32"/>
    </row>
    <row r="922" spans="1:16" ht="22.5" customHeight="1" x14ac:dyDescent="0.35">
      <c r="A922" s="119"/>
      <c r="B922" s="119" t="s">
        <v>103</v>
      </c>
      <c r="C922" s="120"/>
      <c r="D922" s="100"/>
      <c r="E922" s="101"/>
      <c r="F922" s="112"/>
      <c r="G922" s="112"/>
      <c r="H922" s="112"/>
      <c r="I922" s="101"/>
      <c r="J922" s="112"/>
      <c r="K922" s="112"/>
      <c r="L922" s="112"/>
      <c r="M922" s="112"/>
      <c r="N922" s="36"/>
      <c r="O922" s="36"/>
      <c r="P922" s="32"/>
    </row>
    <row r="923" spans="1:16" ht="22.5" customHeight="1" x14ac:dyDescent="0.35">
      <c r="A923" s="52"/>
      <c r="B923" s="48" t="s">
        <v>206</v>
      </c>
      <c r="D923" s="109">
        <v>1</v>
      </c>
      <c r="E923" s="110">
        <v>30</v>
      </c>
      <c r="F923" s="104">
        <v>35</v>
      </c>
      <c r="G923" s="105">
        <v>0</v>
      </c>
      <c r="H923" s="105">
        <v>0</v>
      </c>
      <c r="I923" s="110">
        <v>1</v>
      </c>
      <c r="J923" s="111">
        <v>0</v>
      </c>
      <c r="K923" s="111">
        <v>25</v>
      </c>
      <c r="L923" s="111">
        <v>50</v>
      </c>
      <c r="M923" s="104">
        <f t="shared" ref="M923:M924" si="14">(E923*F923)+(E923*G923*I923)+(E923*H923*I923)+(E923*J923*I923)+(E923*K923*I923)+(E923*L923)</f>
        <v>3300</v>
      </c>
      <c r="N923" s="36"/>
      <c r="O923" s="36"/>
      <c r="P923" s="32"/>
    </row>
    <row r="924" spans="1:16" ht="22.5" customHeight="1" x14ac:dyDescent="0.35">
      <c r="A924" s="52"/>
      <c r="B924" s="113" t="s">
        <v>1293</v>
      </c>
      <c r="C924" s="54" t="s">
        <v>1294</v>
      </c>
      <c r="D924" s="109">
        <v>1</v>
      </c>
      <c r="E924" s="110">
        <v>10</v>
      </c>
      <c r="F924" s="104">
        <v>0</v>
      </c>
      <c r="G924" s="105">
        <v>0</v>
      </c>
      <c r="H924" s="105">
        <v>0</v>
      </c>
      <c r="I924" s="110">
        <v>1</v>
      </c>
      <c r="J924" s="111">
        <v>0</v>
      </c>
      <c r="K924" s="111">
        <v>15</v>
      </c>
      <c r="L924" s="111">
        <v>10</v>
      </c>
      <c r="M924" s="104">
        <f t="shared" si="14"/>
        <v>250</v>
      </c>
      <c r="N924" s="36"/>
      <c r="O924" s="36"/>
      <c r="P924" s="32"/>
    </row>
    <row r="925" spans="1:16" ht="22.5" customHeight="1" x14ac:dyDescent="0.35">
      <c r="A925" s="52"/>
      <c r="B925" s="113" t="s">
        <v>1295</v>
      </c>
      <c r="C925" s="54" t="s">
        <v>1296</v>
      </c>
      <c r="D925" s="109">
        <v>0</v>
      </c>
      <c r="E925" s="103">
        <v>0</v>
      </c>
      <c r="F925" s="104">
        <v>0</v>
      </c>
      <c r="G925" s="105">
        <v>0</v>
      </c>
      <c r="H925" s="105">
        <v>0</v>
      </c>
      <c r="I925" s="103">
        <v>0</v>
      </c>
      <c r="J925" s="106">
        <v>0</v>
      </c>
      <c r="K925" s="111">
        <v>0</v>
      </c>
      <c r="L925" s="111">
        <v>0</v>
      </c>
      <c r="M925" s="104">
        <f>(E925*F925)+(E925*G925*I925)+(E925*H925*I925)+(E925*J925*I925)+(E925*K925*I925)+(E925*L925)</f>
        <v>0</v>
      </c>
      <c r="N925" s="36"/>
      <c r="O925" s="36"/>
      <c r="P925" s="32"/>
    </row>
    <row r="926" spans="1:16" ht="22.5" customHeight="1" x14ac:dyDescent="0.35">
      <c r="A926" s="52"/>
      <c r="B926" s="113" t="s">
        <v>1297</v>
      </c>
      <c r="C926" s="54" t="s">
        <v>1298</v>
      </c>
      <c r="D926" s="109">
        <v>1</v>
      </c>
      <c r="E926" s="110">
        <v>20</v>
      </c>
      <c r="F926" s="104">
        <v>0</v>
      </c>
      <c r="G926" s="105">
        <v>0</v>
      </c>
      <c r="H926" s="105">
        <v>0</v>
      </c>
      <c r="I926" s="110">
        <v>2</v>
      </c>
      <c r="J926" s="111">
        <v>0</v>
      </c>
      <c r="K926" s="111">
        <v>15</v>
      </c>
      <c r="L926" s="111">
        <v>25</v>
      </c>
      <c r="M926" s="104">
        <f t="shared" ref="M926:M931" si="15">(E926*F926)+(E926*G926*I926)+(E926*H926*I926)+(E926*J926*I926)+(E926*K926*I926)+(E926*L926)</f>
        <v>1100</v>
      </c>
      <c r="N926" s="36"/>
      <c r="O926" s="36"/>
      <c r="P926" s="32"/>
    </row>
    <row r="927" spans="1:16" ht="22.5" customHeight="1" x14ac:dyDescent="0.35">
      <c r="A927" s="52"/>
      <c r="B927" s="113" t="s">
        <v>1299</v>
      </c>
      <c r="C927" s="54" t="s">
        <v>1300</v>
      </c>
      <c r="D927" s="109">
        <v>1</v>
      </c>
      <c r="E927" s="110">
        <v>10</v>
      </c>
      <c r="F927" s="104">
        <v>0</v>
      </c>
      <c r="G927" s="105">
        <v>0</v>
      </c>
      <c r="H927" s="105">
        <v>0</v>
      </c>
      <c r="I927" s="110">
        <v>1</v>
      </c>
      <c r="J927" s="111">
        <v>0</v>
      </c>
      <c r="K927" s="111">
        <v>0</v>
      </c>
      <c r="L927" s="111">
        <v>100</v>
      </c>
      <c r="M927" s="104">
        <f t="shared" si="15"/>
        <v>1000</v>
      </c>
      <c r="N927" s="36"/>
      <c r="O927" s="36"/>
      <c r="P927" s="32"/>
    </row>
    <row r="928" spans="1:16" ht="22.5" customHeight="1" x14ac:dyDescent="0.35">
      <c r="A928" s="52"/>
      <c r="B928" s="113" t="s">
        <v>1301</v>
      </c>
      <c r="C928" s="54" t="s">
        <v>1302</v>
      </c>
      <c r="D928" s="109">
        <v>2</v>
      </c>
      <c r="E928" s="110">
        <v>5</v>
      </c>
      <c r="F928" s="104">
        <v>0</v>
      </c>
      <c r="G928" s="105">
        <v>0</v>
      </c>
      <c r="H928" s="105">
        <v>0</v>
      </c>
      <c r="I928" s="110">
        <v>1</v>
      </c>
      <c r="J928" s="111">
        <v>0</v>
      </c>
      <c r="K928" s="111">
        <v>25</v>
      </c>
      <c r="L928" s="111">
        <v>50</v>
      </c>
      <c r="M928" s="104">
        <f t="shared" si="15"/>
        <v>375</v>
      </c>
      <c r="N928" s="36"/>
      <c r="O928" s="36"/>
      <c r="P928" s="32"/>
    </row>
    <row r="929" spans="1:16" ht="22.5" customHeight="1" x14ac:dyDescent="0.35">
      <c r="A929" s="52"/>
      <c r="B929" s="113" t="s">
        <v>1303</v>
      </c>
      <c r="C929" s="54" t="s">
        <v>1304</v>
      </c>
      <c r="D929" s="109">
        <v>1</v>
      </c>
      <c r="E929" s="110">
        <v>5</v>
      </c>
      <c r="F929" s="104">
        <v>0</v>
      </c>
      <c r="G929" s="105">
        <v>0</v>
      </c>
      <c r="H929" s="105">
        <v>0</v>
      </c>
      <c r="I929" s="110">
        <v>2</v>
      </c>
      <c r="J929" s="111">
        <v>0</v>
      </c>
      <c r="K929" s="111">
        <v>15</v>
      </c>
      <c r="L929" s="111">
        <v>1000</v>
      </c>
      <c r="M929" s="104">
        <f t="shared" si="15"/>
        <v>5150</v>
      </c>
      <c r="N929" s="36"/>
      <c r="O929" s="36"/>
      <c r="P929" s="32"/>
    </row>
    <row r="930" spans="1:16" ht="22.5" customHeight="1" x14ac:dyDescent="0.35">
      <c r="A930" s="52"/>
      <c r="B930" s="113" t="s">
        <v>1305</v>
      </c>
      <c r="C930" s="54" t="s">
        <v>1306</v>
      </c>
      <c r="D930" s="109">
        <v>2</v>
      </c>
      <c r="E930" s="110">
        <v>20</v>
      </c>
      <c r="F930" s="104">
        <v>35</v>
      </c>
      <c r="G930" s="105">
        <v>0</v>
      </c>
      <c r="H930" s="105">
        <v>0</v>
      </c>
      <c r="I930" s="110">
        <v>1</v>
      </c>
      <c r="J930" s="111">
        <v>0</v>
      </c>
      <c r="K930" s="111">
        <v>15</v>
      </c>
      <c r="L930" s="111">
        <v>50</v>
      </c>
      <c r="M930" s="104">
        <f t="shared" si="15"/>
        <v>2000</v>
      </c>
      <c r="N930" s="36"/>
      <c r="O930" s="36"/>
      <c r="P930" s="32"/>
    </row>
    <row r="931" spans="1:16" ht="22.5" customHeight="1" x14ac:dyDescent="0.35">
      <c r="A931" s="52"/>
      <c r="B931" s="113" t="s">
        <v>1307</v>
      </c>
      <c r="C931" s="54" t="s">
        <v>1308</v>
      </c>
      <c r="D931" s="109">
        <v>1</v>
      </c>
      <c r="E931" s="110">
        <v>20</v>
      </c>
      <c r="F931" s="104">
        <v>35</v>
      </c>
      <c r="G931" s="105">
        <v>0</v>
      </c>
      <c r="H931" s="105">
        <v>0</v>
      </c>
      <c r="I931" s="110">
        <v>1</v>
      </c>
      <c r="J931" s="111">
        <v>0</v>
      </c>
      <c r="K931" s="111">
        <v>25</v>
      </c>
      <c r="L931" s="111">
        <v>50</v>
      </c>
      <c r="M931" s="104">
        <f t="shared" si="15"/>
        <v>2200</v>
      </c>
      <c r="N931" s="36"/>
      <c r="O931" s="36"/>
      <c r="P931" s="32"/>
    </row>
    <row r="932" spans="1:16" ht="22.5" customHeight="1" x14ac:dyDescent="0.35">
      <c r="A932" s="52"/>
      <c r="B932" s="113" t="s">
        <v>1309</v>
      </c>
      <c r="C932" s="54" t="s">
        <v>1310</v>
      </c>
      <c r="D932" s="109">
        <v>0</v>
      </c>
      <c r="E932" s="103">
        <v>0</v>
      </c>
      <c r="F932" s="104">
        <v>0</v>
      </c>
      <c r="G932" s="105">
        <v>0</v>
      </c>
      <c r="H932" s="105">
        <v>0</v>
      </c>
      <c r="I932" s="103">
        <v>0</v>
      </c>
      <c r="J932" s="106">
        <v>0</v>
      </c>
      <c r="K932" s="111">
        <v>0</v>
      </c>
      <c r="L932" s="111">
        <v>50</v>
      </c>
      <c r="M932" s="104">
        <f>(E932*F932)+(E932*G932*I932)+(E932*H932*I932)+(E932*J932*I932)+(E932*K932*I932)+(E932*L932)</f>
        <v>0</v>
      </c>
      <c r="N932" s="36"/>
      <c r="O932" s="36"/>
      <c r="P932" s="32"/>
    </row>
    <row r="933" spans="1:16" ht="22.5" customHeight="1" x14ac:dyDescent="0.35">
      <c r="A933" s="52"/>
      <c r="B933" s="113" t="s">
        <v>1311</v>
      </c>
      <c r="C933" s="54" t="s">
        <v>1312</v>
      </c>
      <c r="D933" s="109">
        <v>1</v>
      </c>
      <c r="E933" s="110">
        <v>30</v>
      </c>
      <c r="F933" s="104">
        <v>35</v>
      </c>
      <c r="G933" s="105">
        <v>0</v>
      </c>
      <c r="H933" s="105">
        <v>0</v>
      </c>
      <c r="I933" s="110">
        <v>2</v>
      </c>
      <c r="J933" s="111">
        <v>15</v>
      </c>
      <c r="K933" s="111">
        <v>25</v>
      </c>
      <c r="L933" s="111">
        <v>15</v>
      </c>
      <c r="M933" s="104">
        <f t="shared" ref="M933" si="16">(E933*F933)+(E933*G933*I933)+(E933*H933*I933)+(E933*J933*I933)+(E933*K933*I933)+(E933*L933)</f>
        <v>3900</v>
      </c>
      <c r="N933" s="36"/>
      <c r="O933" s="36"/>
      <c r="P933" s="32"/>
    </row>
    <row r="934" spans="1:16" ht="22.5" customHeight="1" x14ac:dyDescent="0.35">
      <c r="A934" s="52"/>
      <c r="B934" s="113" t="s">
        <v>1313</v>
      </c>
      <c r="C934" s="54" t="s">
        <v>1314</v>
      </c>
      <c r="D934" s="109"/>
      <c r="E934" s="110"/>
      <c r="F934" s="104"/>
      <c r="G934" s="105"/>
      <c r="H934" s="105"/>
      <c r="I934" s="110"/>
      <c r="J934" s="111"/>
      <c r="K934" s="111"/>
      <c r="L934" s="111"/>
      <c r="M934" s="104"/>
      <c r="N934" s="36"/>
      <c r="O934" s="36"/>
      <c r="P934" s="32"/>
    </row>
    <row r="935" spans="1:16" ht="22.5" customHeight="1" x14ac:dyDescent="0.35">
      <c r="A935" s="119"/>
      <c r="B935" s="119" t="s">
        <v>128</v>
      </c>
      <c r="C935" s="120"/>
      <c r="D935" s="100"/>
      <c r="E935" s="101"/>
      <c r="F935" s="112"/>
      <c r="G935" s="112"/>
      <c r="H935" s="112"/>
      <c r="I935" s="101"/>
      <c r="J935" s="112"/>
      <c r="K935" s="112"/>
      <c r="L935" s="112"/>
      <c r="M935" s="112"/>
      <c r="N935" s="36"/>
      <c r="O935" s="36"/>
      <c r="P935" s="32"/>
    </row>
    <row r="936" spans="1:16" ht="22.5" customHeight="1" x14ac:dyDescent="0.35">
      <c r="A936" s="52"/>
      <c r="B936" s="48" t="s">
        <v>207</v>
      </c>
      <c r="D936" s="109">
        <v>1</v>
      </c>
      <c r="E936" s="110">
        <v>96</v>
      </c>
      <c r="F936" s="104">
        <v>0</v>
      </c>
      <c r="G936" s="105">
        <v>0</v>
      </c>
      <c r="H936" s="105">
        <v>0</v>
      </c>
      <c r="I936" s="110">
        <v>1</v>
      </c>
      <c r="J936" s="111">
        <v>0</v>
      </c>
      <c r="K936" s="111">
        <v>0</v>
      </c>
      <c r="L936" s="111">
        <v>20</v>
      </c>
      <c r="M936" s="104">
        <f t="shared" ref="M936:M939" si="17">(E936*F936)+(E936*G936*I936)+(E936*H936*I936)+(E936*J936*I936)+(E936*K936*I936)+(E936*L936)</f>
        <v>1920</v>
      </c>
      <c r="N936" s="36"/>
      <c r="O936" s="36"/>
      <c r="P936" s="32"/>
    </row>
    <row r="937" spans="1:16" ht="22.5" customHeight="1" x14ac:dyDescent="0.35">
      <c r="A937" s="52"/>
      <c r="B937" s="113" t="s">
        <v>1315</v>
      </c>
      <c r="C937" s="54" t="s">
        <v>1316</v>
      </c>
      <c r="D937" s="109">
        <v>1</v>
      </c>
      <c r="E937" s="110">
        <v>10</v>
      </c>
      <c r="F937" s="104">
        <v>0</v>
      </c>
      <c r="G937" s="105">
        <v>0</v>
      </c>
      <c r="H937" s="105">
        <v>0</v>
      </c>
      <c r="I937" s="110">
        <v>2</v>
      </c>
      <c r="J937" s="111">
        <v>0</v>
      </c>
      <c r="K937" s="111">
        <v>15</v>
      </c>
      <c r="L937" s="111">
        <v>15</v>
      </c>
      <c r="M937" s="104">
        <f t="shared" si="17"/>
        <v>450</v>
      </c>
      <c r="N937" s="36"/>
      <c r="O937" s="36"/>
      <c r="P937" s="32"/>
    </row>
    <row r="938" spans="1:16" ht="22.5" customHeight="1" x14ac:dyDescent="0.35">
      <c r="A938" s="52"/>
      <c r="B938" s="113" t="s">
        <v>1317</v>
      </c>
      <c r="C938" s="54" t="s">
        <v>1318</v>
      </c>
      <c r="D938" s="109">
        <v>2</v>
      </c>
      <c r="E938" s="110">
        <v>30</v>
      </c>
      <c r="F938" s="104">
        <v>0</v>
      </c>
      <c r="G938" s="105">
        <v>0</v>
      </c>
      <c r="H938" s="105">
        <v>0</v>
      </c>
      <c r="I938" s="110">
        <v>1</v>
      </c>
      <c r="J938" s="111">
        <v>0</v>
      </c>
      <c r="K938" s="111">
        <v>15</v>
      </c>
      <c r="L938" s="111">
        <v>15</v>
      </c>
      <c r="M938" s="104">
        <f t="shared" si="17"/>
        <v>900</v>
      </c>
      <c r="N938" s="36"/>
      <c r="O938" s="36"/>
      <c r="P938" s="32"/>
    </row>
    <row r="939" spans="1:16" ht="22.5" customHeight="1" x14ac:dyDescent="0.35">
      <c r="A939" s="52"/>
      <c r="B939" s="113" t="s">
        <v>1319</v>
      </c>
      <c r="C939" s="54" t="s">
        <v>1320</v>
      </c>
      <c r="D939" s="109">
        <v>1</v>
      </c>
      <c r="E939" s="110">
        <v>20</v>
      </c>
      <c r="F939" s="104">
        <v>0</v>
      </c>
      <c r="G939" s="105">
        <v>0</v>
      </c>
      <c r="H939" s="105">
        <v>0</v>
      </c>
      <c r="I939" s="110">
        <v>1</v>
      </c>
      <c r="J939" s="111">
        <v>0</v>
      </c>
      <c r="K939" s="111">
        <v>0</v>
      </c>
      <c r="L939" s="111">
        <v>100</v>
      </c>
      <c r="M939" s="104">
        <f t="shared" si="17"/>
        <v>2000</v>
      </c>
      <c r="N939" s="36"/>
      <c r="O939" s="36"/>
      <c r="P939" s="32"/>
    </row>
    <row r="940" spans="1:16" ht="22.5" customHeight="1" x14ac:dyDescent="0.35">
      <c r="A940" s="52"/>
      <c r="B940" s="113" t="s">
        <v>1321</v>
      </c>
      <c r="C940" s="54" t="s">
        <v>1322</v>
      </c>
      <c r="D940" s="109">
        <v>1</v>
      </c>
      <c r="E940" s="103">
        <v>5</v>
      </c>
      <c r="F940" s="104">
        <v>0</v>
      </c>
      <c r="G940" s="105">
        <v>0</v>
      </c>
      <c r="H940" s="105">
        <v>0</v>
      </c>
      <c r="I940" s="103">
        <v>1</v>
      </c>
      <c r="J940" s="106">
        <v>0</v>
      </c>
      <c r="K940" s="111">
        <v>0</v>
      </c>
      <c r="L940" s="111">
        <v>25</v>
      </c>
      <c r="M940" s="104">
        <f>(E940*F940)+(E940*G940*I940)+(E940*H940*I940)+(E940*J940*I940)+(E940*K940*I940)+(E940*L940)</f>
        <v>125</v>
      </c>
      <c r="N940" s="36"/>
      <c r="O940" s="36"/>
      <c r="P940" s="32"/>
    </row>
    <row r="941" spans="1:16" ht="22.5" customHeight="1" x14ac:dyDescent="0.35">
      <c r="A941" s="52"/>
      <c r="B941" s="113" t="s">
        <v>1323</v>
      </c>
      <c r="C941" s="54" t="s">
        <v>1324</v>
      </c>
      <c r="D941" s="109">
        <v>2</v>
      </c>
      <c r="E941" s="110">
        <v>20</v>
      </c>
      <c r="F941" s="104">
        <v>0</v>
      </c>
      <c r="G941" s="105">
        <v>0</v>
      </c>
      <c r="H941" s="105">
        <v>0</v>
      </c>
      <c r="I941" s="110">
        <v>3</v>
      </c>
      <c r="J941" s="111">
        <v>15</v>
      </c>
      <c r="K941" s="111">
        <v>25</v>
      </c>
      <c r="L941" s="111">
        <v>15</v>
      </c>
      <c r="M941" s="104">
        <f t="shared" ref="M941:M943" si="18">(E941*F941)+(E941*G941*I941)+(E941*H941*I941)+(E941*J941*I941)+(E941*K941*I941)+(E941*L941)</f>
        <v>2700</v>
      </c>
      <c r="N941" s="36"/>
      <c r="O941" s="36"/>
      <c r="P941" s="32"/>
    </row>
    <row r="942" spans="1:16" ht="22.5" customHeight="1" x14ac:dyDescent="0.35">
      <c r="A942" s="52"/>
      <c r="B942" s="113" t="s">
        <v>1325</v>
      </c>
      <c r="C942" s="54" t="s">
        <v>1326</v>
      </c>
      <c r="D942" s="109">
        <v>1</v>
      </c>
      <c r="E942" s="110">
        <v>55</v>
      </c>
      <c r="F942" s="104">
        <v>0</v>
      </c>
      <c r="G942" s="105">
        <v>0</v>
      </c>
      <c r="H942" s="105">
        <v>0</v>
      </c>
      <c r="I942" s="110">
        <v>3</v>
      </c>
      <c r="J942" s="111">
        <v>0</v>
      </c>
      <c r="K942" s="111">
        <v>25</v>
      </c>
      <c r="L942" s="111">
        <v>0</v>
      </c>
      <c r="M942" s="104">
        <f t="shared" si="18"/>
        <v>4125</v>
      </c>
      <c r="N942" s="36"/>
      <c r="O942" s="36"/>
      <c r="P942" s="32"/>
    </row>
    <row r="943" spans="1:16" ht="22.5" customHeight="1" x14ac:dyDescent="0.35">
      <c r="A943" s="52"/>
      <c r="B943" s="113" t="s">
        <v>1327</v>
      </c>
      <c r="C943" s="54" t="s">
        <v>1328</v>
      </c>
      <c r="D943" s="109">
        <v>2</v>
      </c>
      <c r="E943" s="110">
        <v>10</v>
      </c>
      <c r="F943" s="104">
        <v>0</v>
      </c>
      <c r="G943" s="105">
        <v>0</v>
      </c>
      <c r="H943" s="105">
        <v>0</v>
      </c>
      <c r="I943" s="110">
        <v>2</v>
      </c>
      <c r="J943" s="111">
        <v>15</v>
      </c>
      <c r="K943" s="111">
        <v>25</v>
      </c>
      <c r="L943" s="111">
        <v>15</v>
      </c>
      <c r="M943" s="104">
        <f t="shared" si="18"/>
        <v>950</v>
      </c>
      <c r="N943" s="36"/>
      <c r="O943" s="36"/>
      <c r="P943" s="32"/>
    </row>
    <row r="944" spans="1:16" ht="22.5" customHeight="1" x14ac:dyDescent="0.35">
      <c r="A944" s="52"/>
      <c r="B944" s="113" t="s">
        <v>1329</v>
      </c>
      <c r="C944" s="54" t="s">
        <v>1330</v>
      </c>
      <c r="D944" s="109"/>
      <c r="E944" s="110"/>
      <c r="F944" s="104"/>
      <c r="G944" s="105"/>
      <c r="H944" s="105"/>
      <c r="I944" s="110"/>
      <c r="J944" s="111"/>
      <c r="K944" s="111"/>
      <c r="L944" s="111"/>
      <c r="M944" s="104"/>
      <c r="N944" s="36"/>
      <c r="O944" s="36"/>
      <c r="P944" s="32"/>
    </row>
    <row r="945" spans="1:16" ht="22.5" customHeight="1" x14ac:dyDescent="0.35">
      <c r="A945" s="119"/>
      <c r="B945" s="119" t="s">
        <v>130</v>
      </c>
      <c r="C945" s="120"/>
      <c r="D945" s="100"/>
      <c r="E945" s="101"/>
      <c r="F945" s="112"/>
      <c r="G945" s="112"/>
      <c r="H945" s="112"/>
      <c r="I945" s="101"/>
      <c r="J945" s="112"/>
      <c r="K945" s="112"/>
      <c r="L945" s="112"/>
      <c r="M945" s="112"/>
      <c r="N945" s="36"/>
      <c r="O945" s="36"/>
      <c r="P945" s="32"/>
    </row>
    <row r="946" spans="1:16" ht="22.5" customHeight="1" x14ac:dyDescent="0.35">
      <c r="A946" s="52"/>
      <c r="B946" s="48" t="s">
        <v>208</v>
      </c>
      <c r="D946" s="109">
        <v>1</v>
      </c>
      <c r="E946" s="110">
        <v>96</v>
      </c>
      <c r="F946" s="104">
        <v>0</v>
      </c>
      <c r="G946" s="105">
        <v>0</v>
      </c>
      <c r="H946" s="105">
        <v>0</v>
      </c>
      <c r="I946" s="110">
        <v>1</v>
      </c>
      <c r="J946" s="111">
        <v>0</v>
      </c>
      <c r="K946" s="111">
        <v>0</v>
      </c>
      <c r="L946" s="111">
        <v>20</v>
      </c>
      <c r="M946" s="104">
        <f t="shared" ref="M946:M948" si="19">(E946*F946)+(E946*G946*I946)+(E946*H946*I946)+(E946*J946*I946)+(E946*K946*I946)+(E946*L946)</f>
        <v>1920</v>
      </c>
      <c r="N946" s="36"/>
      <c r="O946" s="36"/>
      <c r="P946" s="32"/>
    </row>
    <row r="947" spans="1:16" ht="22.5" customHeight="1" x14ac:dyDescent="0.35">
      <c r="A947" s="52"/>
      <c r="B947" s="113" t="s">
        <v>1331</v>
      </c>
      <c r="C947" s="54" t="s">
        <v>1332</v>
      </c>
      <c r="D947" s="109">
        <v>1</v>
      </c>
      <c r="E947" s="103">
        <v>15</v>
      </c>
      <c r="F947" s="104">
        <v>35</v>
      </c>
      <c r="G947" s="105">
        <v>0</v>
      </c>
      <c r="H947" s="105">
        <v>0</v>
      </c>
      <c r="I947" s="110">
        <v>2</v>
      </c>
      <c r="J947" s="111">
        <v>15</v>
      </c>
      <c r="K947" s="111">
        <v>15</v>
      </c>
      <c r="L947" s="111">
        <v>50</v>
      </c>
      <c r="M947" s="104">
        <f t="shared" si="19"/>
        <v>2175</v>
      </c>
      <c r="N947" s="36"/>
      <c r="O947" s="36"/>
      <c r="P947" s="32"/>
    </row>
    <row r="948" spans="1:16" ht="22.5" customHeight="1" x14ac:dyDescent="0.35">
      <c r="A948" s="52"/>
      <c r="B948" s="113" t="s">
        <v>1333</v>
      </c>
      <c r="C948" s="54" t="s">
        <v>1334</v>
      </c>
      <c r="D948" s="109">
        <v>1</v>
      </c>
      <c r="E948" s="103">
        <v>100</v>
      </c>
      <c r="F948" s="104">
        <v>35</v>
      </c>
      <c r="G948" s="105">
        <v>0</v>
      </c>
      <c r="H948" s="105">
        <v>0</v>
      </c>
      <c r="I948" s="110">
        <v>2</v>
      </c>
      <c r="J948" s="111">
        <v>15</v>
      </c>
      <c r="K948" s="111">
        <v>15</v>
      </c>
      <c r="L948" s="111">
        <v>50</v>
      </c>
      <c r="M948" s="104">
        <f t="shared" si="19"/>
        <v>14500</v>
      </c>
      <c r="N948" s="36"/>
      <c r="O948" s="36"/>
      <c r="P948" s="32"/>
    </row>
    <row r="949" spans="1:16" ht="22.5" customHeight="1" x14ac:dyDescent="0.35">
      <c r="A949" s="52"/>
      <c r="B949" s="113" t="s">
        <v>1335</v>
      </c>
      <c r="C949" s="54" t="s">
        <v>1336</v>
      </c>
      <c r="D949" s="109">
        <v>4</v>
      </c>
      <c r="E949" s="103">
        <v>5</v>
      </c>
      <c r="F949" s="104">
        <v>0</v>
      </c>
      <c r="G949" s="105">
        <v>0</v>
      </c>
      <c r="H949" s="105">
        <v>0</v>
      </c>
      <c r="I949" s="103">
        <v>0</v>
      </c>
      <c r="J949" s="106">
        <v>0</v>
      </c>
      <c r="K949" s="111">
        <v>0</v>
      </c>
      <c r="L949" s="111">
        <v>50</v>
      </c>
      <c r="M949" s="104">
        <f>(E949*F949)+(E949*G949*I949)+(E949*H949*I949)+(E949*J949*I949)+(E949*K949*I949)+(E949*L949)</f>
        <v>250</v>
      </c>
      <c r="N949" s="36"/>
      <c r="O949" s="36"/>
      <c r="P949" s="32"/>
    </row>
    <row r="950" spans="1:16" ht="22.5" customHeight="1" x14ac:dyDescent="0.35">
      <c r="A950" s="52"/>
      <c r="B950" s="113" t="s">
        <v>1337</v>
      </c>
      <c r="C950" s="54" t="s">
        <v>1338</v>
      </c>
      <c r="D950" s="109">
        <v>4</v>
      </c>
      <c r="E950" s="110">
        <v>10</v>
      </c>
      <c r="F950" s="104">
        <v>35</v>
      </c>
      <c r="G950" s="105">
        <v>0</v>
      </c>
      <c r="H950" s="105">
        <v>0</v>
      </c>
      <c r="I950" s="110">
        <v>2</v>
      </c>
      <c r="J950" s="111">
        <v>0</v>
      </c>
      <c r="K950" s="111">
        <v>15</v>
      </c>
      <c r="L950" s="111">
        <v>15</v>
      </c>
      <c r="M950" s="104">
        <f t="shared" ref="M950:M952" si="20">(E950*F950)+(E950*G950*I950)+(E950*H950*I950)+(E950*J950*I950)+(E950*K950*I950)+(E950*L950)</f>
        <v>800</v>
      </c>
      <c r="N950" s="36"/>
      <c r="O950" s="36"/>
      <c r="P950" s="32"/>
    </row>
    <row r="951" spans="1:16" ht="22.5" customHeight="1" x14ac:dyDescent="0.35">
      <c r="A951" s="52"/>
      <c r="B951" s="113" t="s">
        <v>1339</v>
      </c>
      <c r="C951" s="54" t="s">
        <v>1340</v>
      </c>
      <c r="D951" s="109">
        <v>1</v>
      </c>
      <c r="E951" s="110">
        <v>30</v>
      </c>
      <c r="F951" s="104">
        <v>0</v>
      </c>
      <c r="G951" s="105">
        <v>0</v>
      </c>
      <c r="H951" s="105">
        <v>0</v>
      </c>
      <c r="I951" s="110">
        <v>1</v>
      </c>
      <c r="J951" s="111">
        <v>0</v>
      </c>
      <c r="K951" s="111">
        <v>25</v>
      </c>
      <c r="L951" s="111">
        <v>20</v>
      </c>
      <c r="M951" s="104">
        <f t="shared" si="20"/>
        <v>1350</v>
      </c>
      <c r="N951" s="36"/>
      <c r="O951" s="36"/>
      <c r="P951" s="32"/>
    </row>
    <row r="952" spans="1:16" ht="22.5" customHeight="1" x14ac:dyDescent="0.35">
      <c r="A952" s="52"/>
      <c r="B952" s="113" t="s">
        <v>1341</v>
      </c>
      <c r="C952" s="54" t="s">
        <v>1342</v>
      </c>
      <c r="D952" s="109">
        <v>1</v>
      </c>
      <c r="E952" s="110">
        <v>20</v>
      </c>
      <c r="F952" s="104">
        <v>0</v>
      </c>
      <c r="G952" s="105">
        <v>0</v>
      </c>
      <c r="H952" s="105">
        <v>0</v>
      </c>
      <c r="I952" s="110">
        <v>1</v>
      </c>
      <c r="J952" s="111">
        <v>0</v>
      </c>
      <c r="K952" s="111">
        <v>15</v>
      </c>
      <c r="L952" s="111">
        <v>50</v>
      </c>
      <c r="M952" s="104">
        <f t="shared" si="20"/>
        <v>1300</v>
      </c>
      <c r="N952" s="36"/>
      <c r="O952" s="36"/>
      <c r="P952" s="32"/>
    </row>
    <row r="953" spans="1:16" ht="22.5" customHeight="1" x14ac:dyDescent="0.35">
      <c r="A953" s="52"/>
      <c r="B953" s="113" t="s">
        <v>1343</v>
      </c>
      <c r="C953" s="54" t="s">
        <v>1344</v>
      </c>
      <c r="D953" s="109">
        <v>1</v>
      </c>
      <c r="E953" s="103">
        <v>10</v>
      </c>
      <c r="F953" s="104">
        <v>0</v>
      </c>
      <c r="G953" s="105">
        <v>0</v>
      </c>
      <c r="H953" s="105">
        <v>0</v>
      </c>
      <c r="I953" s="103">
        <v>0</v>
      </c>
      <c r="J953" s="106">
        <v>0</v>
      </c>
      <c r="K953" s="111">
        <v>0</v>
      </c>
      <c r="L953" s="111">
        <v>50</v>
      </c>
      <c r="M953" s="104">
        <f>(E953*F953)+(E953*G953*I953)+(E953*H953*I953)+(E953*J953*I953)+(E953*K953*I953)+(E953*L953)</f>
        <v>500</v>
      </c>
      <c r="N953" s="36"/>
      <c r="O953" s="36"/>
      <c r="P953" s="32"/>
    </row>
    <row r="954" spans="1:16" ht="22.5" customHeight="1" x14ac:dyDescent="0.35">
      <c r="A954" s="52"/>
      <c r="B954" s="113" t="s">
        <v>1345</v>
      </c>
      <c r="C954" s="54" t="s">
        <v>1346</v>
      </c>
      <c r="D954" s="109">
        <v>4</v>
      </c>
      <c r="E954" s="110">
        <v>20</v>
      </c>
      <c r="F954" s="104">
        <v>35</v>
      </c>
      <c r="G954" s="105">
        <v>0</v>
      </c>
      <c r="H954" s="105">
        <v>0</v>
      </c>
      <c r="I954" s="110">
        <v>2</v>
      </c>
      <c r="J954" s="111">
        <v>15</v>
      </c>
      <c r="K954" s="111">
        <v>15</v>
      </c>
      <c r="L954" s="111">
        <v>20</v>
      </c>
      <c r="M954" s="104">
        <f t="shared" ref="M954:M955" si="21">(E954*F954)+(E954*G954*I954)+(E954*H954*I954)+(E954*J954*I954)+(E954*K954*I954)+(E954*L954)</f>
        <v>2300</v>
      </c>
      <c r="N954" s="36"/>
      <c r="O954" s="36"/>
      <c r="P954" s="32"/>
    </row>
    <row r="955" spans="1:16" ht="22.5" customHeight="1" x14ac:dyDescent="0.35">
      <c r="A955" s="52"/>
      <c r="B955" s="113" t="s">
        <v>1347</v>
      </c>
      <c r="C955" s="54" t="s">
        <v>1348</v>
      </c>
      <c r="D955" s="109">
        <v>4</v>
      </c>
      <c r="E955" s="110">
        <v>20</v>
      </c>
      <c r="F955" s="104">
        <v>0</v>
      </c>
      <c r="G955" s="105">
        <v>0</v>
      </c>
      <c r="H955" s="105">
        <v>0</v>
      </c>
      <c r="I955" s="110">
        <v>1</v>
      </c>
      <c r="J955" s="111">
        <v>0</v>
      </c>
      <c r="K955" s="111">
        <v>15</v>
      </c>
      <c r="L955" s="111">
        <v>0</v>
      </c>
      <c r="M955" s="104">
        <f t="shared" si="21"/>
        <v>300</v>
      </c>
      <c r="N955" s="36"/>
      <c r="O955" s="36"/>
      <c r="P955" s="32"/>
    </row>
    <row r="956" spans="1:16" ht="22.5" customHeight="1" x14ac:dyDescent="0.35">
      <c r="A956" s="52"/>
      <c r="B956" s="113" t="s">
        <v>1349</v>
      </c>
      <c r="C956" s="54" t="s">
        <v>1350</v>
      </c>
      <c r="D956" s="8"/>
      <c r="E956" s="8"/>
      <c r="F956" s="8"/>
      <c r="G956" s="9"/>
      <c r="H956" s="8"/>
      <c r="I956" s="8"/>
      <c r="J956" s="8"/>
      <c r="K956" s="8"/>
      <c r="L956" s="8"/>
      <c r="M956" s="8"/>
      <c r="N956" s="8"/>
      <c r="O956" s="8"/>
      <c r="P956" s="8"/>
    </row>
    <row r="957" spans="1:16" ht="22.5" customHeight="1" x14ac:dyDescent="0.35">
      <c r="A957" s="25"/>
      <c r="C957" s="121"/>
      <c r="D957" s="8"/>
      <c r="E957" s="8"/>
      <c r="F957" s="8"/>
      <c r="G957" s="9"/>
      <c r="H957" s="8"/>
      <c r="I957" s="8"/>
      <c r="J957" s="8"/>
      <c r="K957" s="8"/>
      <c r="L957" s="8"/>
      <c r="M957" s="8"/>
      <c r="N957" s="8"/>
      <c r="O957" s="8"/>
      <c r="P957" s="8"/>
    </row>
    <row r="958" spans="1:16" ht="22.5" customHeight="1" x14ac:dyDescent="0.35">
      <c r="A958" s="25"/>
      <c r="C958" s="121"/>
      <c r="D958" s="8"/>
      <c r="E958" s="8"/>
      <c r="F958" s="8"/>
      <c r="G958" s="9"/>
      <c r="H958" s="8"/>
      <c r="I958" s="8"/>
      <c r="J958" s="8"/>
      <c r="K958" s="8"/>
      <c r="L958" s="8"/>
      <c r="M958" s="8"/>
      <c r="N958" s="8"/>
      <c r="O958" s="8"/>
      <c r="P958" s="8"/>
    </row>
    <row r="959" spans="1:16" ht="22.5" customHeight="1" x14ac:dyDescent="0.35">
      <c r="A959" s="25"/>
      <c r="C959" s="121"/>
      <c r="D959" s="8"/>
      <c r="E959" s="8"/>
      <c r="F959" s="8"/>
      <c r="G959" s="9"/>
      <c r="H959" s="8"/>
      <c r="I959" s="8"/>
      <c r="J959" s="8"/>
      <c r="K959" s="8"/>
      <c r="L959" s="8"/>
      <c r="M959" s="8"/>
      <c r="N959" s="8"/>
      <c r="O959" s="8"/>
      <c r="P959" s="8"/>
    </row>
    <row r="960" spans="1:16" ht="22.5" customHeight="1" x14ac:dyDescent="0.35">
      <c r="A960" s="25"/>
      <c r="C960" s="121"/>
      <c r="D960" s="8"/>
      <c r="E960" s="8"/>
      <c r="F960" s="8"/>
      <c r="G960" s="9"/>
      <c r="H960" s="8"/>
      <c r="I960" s="8"/>
      <c r="J960" s="8"/>
      <c r="K960" s="8"/>
      <c r="L960" s="8"/>
      <c r="M960" s="8"/>
      <c r="N960" s="8"/>
      <c r="O960" s="8"/>
      <c r="P960" s="8"/>
    </row>
    <row r="961" spans="1:16" ht="22.5" customHeight="1" x14ac:dyDescent="0.35">
      <c r="A961" s="25"/>
      <c r="C961" s="121"/>
      <c r="D961" s="8"/>
      <c r="E961" s="8"/>
      <c r="F961" s="8"/>
      <c r="G961" s="9"/>
      <c r="H961" s="8"/>
      <c r="I961" s="8"/>
      <c r="J961" s="8"/>
      <c r="K961" s="8"/>
      <c r="L961" s="8"/>
      <c r="M961" s="8"/>
      <c r="N961" s="8"/>
      <c r="O961" s="8"/>
      <c r="P961" s="8"/>
    </row>
    <row r="962" spans="1:16" ht="22.5" customHeight="1" x14ac:dyDescent="0.35">
      <c r="A962" s="25"/>
      <c r="C962" s="121"/>
      <c r="D962" s="8"/>
      <c r="E962" s="8"/>
      <c r="F962" s="8"/>
      <c r="G962" s="9"/>
      <c r="H962" s="8"/>
      <c r="I962" s="8"/>
      <c r="J962" s="8"/>
      <c r="K962" s="8"/>
      <c r="L962" s="8"/>
      <c r="M962" s="8"/>
      <c r="N962" s="8"/>
      <c r="O962" s="8"/>
      <c r="P962" s="8"/>
    </row>
    <row r="963" spans="1:16" ht="22.5" customHeight="1" x14ac:dyDescent="0.35">
      <c r="A963" s="25"/>
      <c r="C963" s="121"/>
      <c r="D963" s="8"/>
      <c r="E963" s="8"/>
      <c r="F963" s="8"/>
      <c r="G963" s="9"/>
      <c r="H963" s="8"/>
      <c r="I963" s="8"/>
      <c r="J963" s="8"/>
      <c r="K963" s="8"/>
      <c r="L963" s="8"/>
      <c r="M963" s="8"/>
      <c r="N963" s="8"/>
      <c r="O963" s="8"/>
      <c r="P963" s="8"/>
    </row>
    <row r="964" spans="1:16" ht="22.5" customHeight="1" x14ac:dyDescent="0.35">
      <c r="A964" s="25"/>
      <c r="C964" s="121"/>
      <c r="D964" s="8"/>
      <c r="E964" s="8"/>
      <c r="F964" s="8"/>
      <c r="G964" s="9"/>
      <c r="H964" s="8"/>
      <c r="I964" s="8"/>
      <c r="J964" s="8"/>
      <c r="K964" s="8"/>
      <c r="L964" s="8"/>
      <c r="M964" s="8"/>
      <c r="N964" s="8"/>
      <c r="O964" s="8"/>
      <c r="P964" s="8"/>
    </row>
    <row r="965" spans="1:16" ht="22.5" customHeight="1" x14ac:dyDescent="0.35">
      <c r="A965" s="25"/>
      <c r="C965" s="121"/>
      <c r="D965" s="8"/>
      <c r="E965" s="8"/>
      <c r="F965" s="8"/>
      <c r="G965" s="9"/>
      <c r="H965" s="8"/>
      <c r="I965" s="8"/>
      <c r="J965" s="8"/>
      <c r="K965" s="8"/>
      <c r="L965" s="8"/>
      <c r="M965" s="8"/>
      <c r="N965" s="8"/>
      <c r="O965" s="8"/>
      <c r="P965" s="8"/>
    </row>
    <row r="966" spans="1:16" ht="22.5" customHeight="1" x14ac:dyDescent="0.35">
      <c r="A966" s="25"/>
      <c r="C966" s="121"/>
      <c r="D966" s="8"/>
      <c r="E966" s="8"/>
      <c r="F966" s="8"/>
      <c r="G966" s="9"/>
      <c r="H966" s="8"/>
      <c r="I966" s="8"/>
      <c r="J966" s="8"/>
      <c r="K966" s="8"/>
      <c r="L966" s="8"/>
      <c r="M966" s="8"/>
      <c r="N966" s="8"/>
      <c r="O966" s="8"/>
      <c r="P966" s="8"/>
    </row>
    <row r="967" spans="1:16" ht="22.5" customHeight="1" x14ac:dyDescent="0.35">
      <c r="A967" s="25"/>
      <c r="C967" s="121"/>
      <c r="D967" s="8"/>
      <c r="E967" s="8"/>
      <c r="F967" s="8"/>
      <c r="G967" s="9"/>
      <c r="H967" s="8"/>
      <c r="I967" s="8"/>
      <c r="J967" s="8"/>
      <c r="K967" s="8"/>
      <c r="L967" s="8"/>
      <c r="M967" s="8"/>
      <c r="N967" s="8"/>
      <c r="O967" s="8"/>
      <c r="P967" s="8"/>
    </row>
    <row r="968" spans="1:16" ht="22.5" customHeight="1" x14ac:dyDescent="0.35">
      <c r="A968" s="25"/>
      <c r="C968" s="121"/>
      <c r="D968" s="8"/>
      <c r="E968" s="8"/>
      <c r="F968" s="8"/>
      <c r="G968" s="9"/>
      <c r="H968" s="8"/>
      <c r="I968" s="8"/>
      <c r="J968" s="8"/>
      <c r="K968" s="8"/>
      <c r="L968" s="8"/>
      <c r="M968" s="8"/>
      <c r="N968" s="8"/>
      <c r="O968" s="8"/>
      <c r="P968" s="8"/>
    </row>
    <row r="969" spans="1:16" ht="22.5" customHeight="1" x14ac:dyDescent="0.35">
      <c r="A969" s="25"/>
      <c r="C969" s="121"/>
      <c r="D969" s="8"/>
      <c r="E969" s="8"/>
      <c r="F969" s="8"/>
      <c r="G969" s="9"/>
      <c r="H969" s="8"/>
      <c r="I969" s="8"/>
      <c r="J969" s="8"/>
      <c r="K969" s="8"/>
      <c r="L969" s="8"/>
      <c r="M969" s="8"/>
      <c r="N969" s="8"/>
      <c r="O969" s="8"/>
      <c r="P969" s="8"/>
    </row>
    <row r="970" spans="1:16" ht="22.5" customHeight="1" x14ac:dyDescent="0.35">
      <c r="A970" s="25"/>
      <c r="C970" s="121"/>
      <c r="D970" s="8"/>
      <c r="E970" s="8"/>
      <c r="F970" s="8"/>
      <c r="G970" s="9"/>
      <c r="H970" s="8"/>
      <c r="I970" s="8"/>
      <c r="J970" s="8"/>
      <c r="K970" s="8"/>
      <c r="L970" s="8"/>
      <c r="M970" s="8"/>
      <c r="N970" s="8"/>
      <c r="O970" s="8"/>
      <c r="P970" s="8"/>
    </row>
    <row r="971" spans="1:16" ht="22.5" customHeight="1" x14ac:dyDescent="0.35">
      <c r="A971" s="25"/>
      <c r="C971" s="121"/>
      <c r="D971" s="8"/>
      <c r="E971" s="8"/>
      <c r="F971" s="8"/>
      <c r="G971" s="9"/>
      <c r="H971" s="8"/>
      <c r="I971" s="8"/>
      <c r="J971" s="8"/>
      <c r="K971" s="8"/>
      <c r="L971" s="8"/>
      <c r="M971" s="8"/>
      <c r="N971" s="8"/>
      <c r="O971" s="8"/>
      <c r="P971" s="8"/>
    </row>
    <row r="972" spans="1:16" ht="22.5" customHeight="1" x14ac:dyDescent="0.35">
      <c r="A972" s="25"/>
      <c r="C972" s="121"/>
      <c r="D972" s="8"/>
      <c r="E972" s="8"/>
      <c r="F972" s="8"/>
      <c r="G972" s="9"/>
      <c r="H972" s="8"/>
      <c r="I972" s="8"/>
      <c r="J972" s="8"/>
      <c r="K972" s="8"/>
      <c r="L972" s="8"/>
      <c r="M972" s="8"/>
      <c r="N972" s="8"/>
      <c r="O972" s="8"/>
      <c r="P972" s="8"/>
    </row>
    <row r="973" spans="1:16" ht="22.5" customHeight="1" x14ac:dyDescent="0.35">
      <c r="A973" s="25"/>
      <c r="C973" s="121"/>
      <c r="D973" s="8"/>
      <c r="E973" s="8"/>
      <c r="F973" s="8"/>
      <c r="G973" s="9"/>
      <c r="H973" s="8"/>
      <c r="I973" s="8"/>
      <c r="J973" s="8"/>
      <c r="K973" s="8"/>
      <c r="L973" s="8"/>
      <c r="M973" s="8"/>
      <c r="N973" s="8"/>
      <c r="O973" s="8"/>
      <c r="P973" s="8"/>
    </row>
    <row r="974" spans="1:16" ht="22.5" customHeight="1" x14ac:dyDescent="0.35">
      <c r="A974" s="25"/>
      <c r="C974" s="121"/>
      <c r="D974" s="8"/>
      <c r="E974" s="8"/>
      <c r="F974" s="8"/>
      <c r="G974" s="9"/>
      <c r="H974" s="8"/>
      <c r="I974" s="8"/>
      <c r="J974" s="8"/>
      <c r="K974" s="8"/>
      <c r="L974" s="8"/>
      <c r="M974" s="8"/>
      <c r="N974" s="8"/>
      <c r="O974" s="8"/>
      <c r="P974" s="8"/>
    </row>
    <row r="975" spans="1:16" ht="22.5" customHeight="1" x14ac:dyDescent="0.35">
      <c r="A975" s="25"/>
      <c r="C975" s="121"/>
      <c r="D975" s="8"/>
      <c r="E975" s="8"/>
      <c r="F975" s="8"/>
      <c r="G975" s="9"/>
      <c r="H975" s="8"/>
      <c r="I975" s="8"/>
      <c r="J975" s="8"/>
      <c r="K975" s="8"/>
      <c r="L975" s="8"/>
      <c r="M975" s="8"/>
      <c r="N975" s="8"/>
      <c r="O975" s="8"/>
      <c r="P975" s="8"/>
    </row>
    <row r="976" spans="1:16" ht="22.5" customHeight="1" x14ac:dyDescent="0.35">
      <c r="A976" s="25"/>
      <c r="C976" s="121"/>
      <c r="D976" s="8"/>
      <c r="E976" s="8"/>
      <c r="F976" s="8"/>
      <c r="G976" s="9"/>
      <c r="H976" s="8"/>
      <c r="I976" s="8"/>
      <c r="J976" s="8"/>
      <c r="K976" s="8"/>
      <c r="L976" s="8"/>
      <c r="M976" s="8"/>
      <c r="N976" s="8"/>
      <c r="O976" s="8"/>
      <c r="P976" s="8"/>
    </row>
    <row r="977" spans="1:16" ht="22.5" customHeight="1" x14ac:dyDescent="0.35">
      <c r="A977" s="25"/>
      <c r="C977" s="121"/>
      <c r="D977" s="8"/>
      <c r="E977" s="8"/>
      <c r="F977" s="8"/>
      <c r="G977" s="9"/>
      <c r="H977" s="8"/>
      <c r="I977" s="8"/>
      <c r="J977" s="8"/>
      <c r="K977" s="8"/>
      <c r="L977" s="8"/>
      <c r="M977" s="8"/>
      <c r="N977" s="8"/>
      <c r="O977" s="8"/>
      <c r="P977" s="8"/>
    </row>
    <row r="978" spans="1:16" ht="22.5" customHeight="1" x14ac:dyDescent="0.35">
      <c r="A978" s="25"/>
      <c r="C978" s="121"/>
      <c r="D978" s="8"/>
      <c r="E978" s="8"/>
      <c r="F978" s="8"/>
      <c r="G978" s="9"/>
      <c r="H978" s="8"/>
      <c r="I978" s="8"/>
      <c r="J978" s="8"/>
      <c r="K978" s="8"/>
      <c r="L978" s="8"/>
      <c r="M978" s="8"/>
      <c r="N978" s="8"/>
      <c r="O978" s="8"/>
      <c r="P978" s="8"/>
    </row>
    <row r="979" spans="1:16" ht="22.5" customHeight="1" x14ac:dyDescent="0.35">
      <c r="A979" s="25"/>
      <c r="C979" s="121"/>
      <c r="D979" s="8"/>
      <c r="E979" s="8"/>
      <c r="F979" s="8"/>
      <c r="G979" s="9"/>
      <c r="H979" s="8"/>
      <c r="I979" s="8"/>
      <c r="J979" s="8"/>
      <c r="K979" s="8"/>
      <c r="L979" s="8"/>
      <c r="M979" s="8"/>
      <c r="N979" s="8"/>
      <c r="O979" s="8"/>
      <c r="P979" s="8"/>
    </row>
    <row r="980" spans="1:16" ht="22.5" customHeight="1" x14ac:dyDescent="0.35">
      <c r="A980" s="25"/>
      <c r="C980" s="121"/>
      <c r="D980" s="8"/>
      <c r="E980" s="8"/>
      <c r="F980" s="8"/>
      <c r="G980" s="9"/>
      <c r="H980" s="8"/>
      <c r="I980" s="8"/>
      <c r="J980" s="8"/>
      <c r="K980" s="8"/>
      <c r="L980" s="8"/>
      <c r="M980" s="8"/>
      <c r="N980" s="8"/>
      <c r="O980" s="8"/>
      <c r="P980" s="8"/>
    </row>
    <row r="981" spans="1:16" ht="22.5" customHeight="1" x14ac:dyDescent="0.35">
      <c r="A981" s="25"/>
      <c r="C981" s="121"/>
      <c r="D981" s="8"/>
      <c r="E981" s="8"/>
      <c r="F981" s="8"/>
      <c r="G981" s="9"/>
      <c r="H981" s="8"/>
      <c r="I981" s="8"/>
      <c r="J981" s="8"/>
      <c r="K981" s="8"/>
      <c r="L981" s="8"/>
      <c r="M981" s="8"/>
      <c r="N981" s="8"/>
      <c r="O981" s="8"/>
      <c r="P981" s="8"/>
    </row>
    <row r="982" spans="1:16" ht="22.5" customHeight="1" x14ac:dyDescent="0.35">
      <c r="A982" s="25"/>
      <c r="C982" s="121"/>
      <c r="D982" s="8"/>
      <c r="E982" s="8"/>
      <c r="F982" s="8"/>
      <c r="G982" s="9"/>
      <c r="H982" s="8"/>
      <c r="I982" s="8"/>
      <c r="J982" s="8"/>
      <c r="K982" s="8"/>
      <c r="L982" s="8"/>
      <c r="M982" s="8"/>
      <c r="N982" s="8"/>
      <c r="O982" s="8"/>
      <c r="P982" s="8"/>
    </row>
    <row r="983" spans="1:16" ht="22.5" customHeight="1" x14ac:dyDescent="0.35">
      <c r="A983" s="25"/>
      <c r="C983" s="121"/>
      <c r="D983" s="8"/>
      <c r="E983" s="8"/>
      <c r="F983" s="8"/>
      <c r="G983" s="9"/>
      <c r="H983" s="8"/>
      <c r="I983" s="8"/>
      <c r="J983" s="8"/>
      <c r="K983" s="8"/>
      <c r="L983" s="8"/>
      <c r="M983" s="8"/>
      <c r="N983" s="8"/>
      <c r="O983" s="8"/>
      <c r="P983" s="8"/>
    </row>
    <row r="984" spans="1:16" ht="22.5" customHeight="1" x14ac:dyDescent="0.35">
      <c r="A984" s="25"/>
      <c r="C984" s="121"/>
      <c r="D984" s="8"/>
      <c r="E984" s="8"/>
      <c r="F984" s="8"/>
      <c r="G984" s="9"/>
      <c r="H984" s="8"/>
      <c r="I984" s="8"/>
      <c r="J984" s="8"/>
      <c r="K984" s="8"/>
      <c r="L984" s="8"/>
      <c r="M984" s="8"/>
      <c r="N984" s="8"/>
      <c r="O984" s="8"/>
      <c r="P984" s="8"/>
    </row>
    <row r="985" spans="1:16" ht="22.5" customHeight="1" x14ac:dyDescent="0.35">
      <c r="A985" s="25"/>
      <c r="C985" s="121"/>
      <c r="D985" s="8"/>
      <c r="E985" s="8"/>
      <c r="F985" s="8"/>
      <c r="G985" s="9"/>
      <c r="H985" s="8"/>
      <c r="I985" s="8"/>
      <c r="J985" s="8"/>
      <c r="K985" s="8"/>
      <c r="L985" s="8"/>
      <c r="M985" s="8"/>
      <c r="N985" s="8"/>
      <c r="O985" s="8"/>
      <c r="P985" s="8"/>
    </row>
    <row r="986" spans="1:16" ht="22.5" customHeight="1" x14ac:dyDescent="0.35">
      <c r="A986" s="25"/>
      <c r="C986" s="121"/>
      <c r="D986" s="8"/>
      <c r="E986" s="8"/>
      <c r="F986" s="8"/>
      <c r="G986" s="9"/>
      <c r="H986" s="8"/>
      <c r="I986" s="8"/>
      <c r="J986" s="8"/>
      <c r="K986" s="8"/>
      <c r="L986" s="8"/>
      <c r="M986" s="8"/>
      <c r="N986" s="8"/>
      <c r="O986" s="8"/>
      <c r="P986" s="8"/>
    </row>
    <row r="987" spans="1:16" ht="22.5" customHeight="1" x14ac:dyDescent="0.35">
      <c r="A987" s="25"/>
      <c r="C987" s="121"/>
      <c r="D987" s="8"/>
      <c r="E987" s="8"/>
      <c r="F987" s="8"/>
      <c r="G987" s="9"/>
      <c r="H987" s="8"/>
      <c r="I987" s="8"/>
      <c r="J987" s="8"/>
      <c r="K987" s="8"/>
      <c r="L987" s="8"/>
      <c r="M987" s="8"/>
      <c r="N987" s="8"/>
      <c r="O987" s="8"/>
      <c r="P987" s="8"/>
    </row>
    <row r="988" spans="1:16" ht="22.5" customHeight="1" x14ac:dyDescent="0.35">
      <c r="A988" s="25"/>
      <c r="C988" s="121"/>
      <c r="D988" s="8"/>
      <c r="E988" s="8"/>
      <c r="F988" s="8"/>
      <c r="G988" s="9"/>
      <c r="H988" s="8"/>
      <c r="I988" s="8"/>
      <c r="J988" s="8"/>
      <c r="K988" s="8"/>
      <c r="L988" s="8"/>
      <c r="M988" s="8"/>
      <c r="N988" s="8"/>
      <c r="O988" s="8"/>
      <c r="P988" s="8"/>
    </row>
    <row r="989" spans="1:16" ht="22.5" customHeight="1" x14ac:dyDescent="0.35">
      <c r="A989" s="25"/>
      <c r="C989" s="121"/>
      <c r="D989" s="8"/>
      <c r="E989" s="8"/>
      <c r="F989" s="8"/>
      <c r="G989" s="9"/>
      <c r="H989" s="8"/>
      <c r="I989" s="8"/>
      <c r="J989" s="8"/>
      <c r="K989" s="8"/>
      <c r="L989" s="8"/>
      <c r="M989" s="8"/>
      <c r="N989" s="8"/>
      <c r="O989" s="8"/>
      <c r="P989" s="8"/>
    </row>
    <row r="990" spans="1:16" ht="22.5" customHeight="1" x14ac:dyDescent="0.35">
      <c r="A990" s="25"/>
      <c r="C990" s="121"/>
      <c r="D990" s="8"/>
      <c r="E990" s="8"/>
      <c r="F990" s="8"/>
      <c r="G990" s="9"/>
      <c r="H990" s="8"/>
      <c r="I990" s="8"/>
      <c r="J990" s="8"/>
      <c r="K990" s="8"/>
      <c r="L990" s="8"/>
      <c r="M990" s="8"/>
      <c r="N990" s="8"/>
      <c r="O990" s="8"/>
      <c r="P990" s="8"/>
    </row>
    <row r="991" spans="1:16" ht="22.5" customHeight="1" x14ac:dyDescent="0.35">
      <c r="A991" s="25"/>
      <c r="C991" s="121"/>
      <c r="D991" s="8"/>
      <c r="E991" s="8"/>
      <c r="F991" s="8"/>
      <c r="G991" s="9"/>
      <c r="H991" s="8"/>
      <c r="I991" s="8"/>
      <c r="J991" s="8"/>
      <c r="K991" s="8"/>
      <c r="L991" s="8"/>
      <c r="M991" s="8"/>
      <c r="N991" s="8"/>
      <c r="O991" s="8"/>
      <c r="P991" s="8"/>
    </row>
    <row r="992" spans="1:16" ht="22.5" customHeight="1" x14ac:dyDescent="0.35">
      <c r="A992" s="25"/>
      <c r="C992" s="121"/>
      <c r="D992" s="8"/>
      <c r="E992" s="8"/>
      <c r="F992" s="8"/>
      <c r="G992" s="9"/>
      <c r="H992" s="8"/>
      <c r="I992" s="8"/>
      <c r="J992" s="8"/>
      <c r="K992" s="8"/>
      <c r="L992" s="8"/>
      <c r="M992" s="8"/>
      <c r="N992" s="8"/>
      <c r="O992" s="8"/>
      <c r="P992" s="8"/>
    </row>
    <row r="993" spans="1:16" ht="22.5" customHeight="1" x14ac:dyDescent="0.35">
      <c r="A993" s="25"/>
      <c r="C993" s="121"/>
      <c r="D993" s="8"/>
      <c r="E993" s="8"/>
      <c r="F993" s="8"/>
      <c r="G993" s="9"/>
      <c r="H993" s="8"/>
      <c r="I993" s="8"/>
      <c r="J993" s="8"/>
      <c r="K993" s="8"/>
      <c r="L993" s="8"/>
      <c r="M993" s="8"/>
      <c r="N993" s="8"/>
      <c r="O993" s="8"/>
      <c r="P993" s="8"/>
    </row>
    <row r="994" spans="1:16" ht="22.5" customHeight="1" x14ac:dyDescent="0.35">
      <c r="A994" s="25"/>
      <c r="C994" s="121"/>
      <c r="D994" s="8"/>
      <c r="E994" s="8"/>
      <c r="F994" s="8"/>
      <c r="G994" s="9"/>
      <c r="H994" s="8"/>
      <c r="I994" s="8"/>
      <c r="J994" s="8"/>
      <c r="K994" s="8"/>
      <c r="L994" s="8"/>
      <c r="M994" s="8"/>
      <c r="N994" s="8"/>
      <c r="O994" s="8"/>
      <c r="P994" s="8"/>
    </row>
    <row r="995" spans="1:16" ht="22.5" customHeight="1" x14ac:dyDescent="0.35">
      <c r="A995" s="25"/>
      <c r="C995" s="121"/>
      <c r="D995" s="8"/>
      <c r="E995" s="8"/>
      <c r="F995" s="8"/>
      <c r="G995" s="9"/>
      <c r="H995" s="8"/>
      <c r="I995" s="8"/>
      <c r="J995" s="8"/>
      <c r="K995" s="8"/>
      <c r="L995" s="8"/>
      <c r="M995" s="8"/>
      <c r="N995" s="8"/>
      <c r="O995" s="8"/>
      <c r="P995" s="8"/>
    </row>
    <row r="996" spans="1:16" ht="22.5" customHeight="1" x14ac:dyDescent="0.35">
      <c r="A996" s="25"/>
      <c r="C996" s="121"/>
      <c r="D996" s="8"/>
      <c r="E996" s="8"/>
      <c r="F996" s="8"/>
      <c r="G996" s="9"/>
      <c r="H996" s="8"/>
      <c r="I996" s="8"/>
      <c r="J996" s="8"/>
      <c r="K996" s="8"/>
      <c r="L996" s="8"/>
      <c r="M996" s="8"/>
      <c r="N996" s="8"/>
      <c r="O996" s="8"/>
      <c r="P996" s="8"/>
    </row>
    <row r="997" spans="1:16" ht="22.5" customHeight="1" x14ac:dyDescent="0.35">
      <c r="A997" s="25"/>
      <c r="C997" s="121"/>
      <c r="D997" s="8"/>
      <c r="E997" s="8"/>
      <c r="F997" s="8"/>
      <c r="G997" s="9"/>
      <c r="H997" s="8"/>
      <c r="I997" s="8"/>
      <c r="J997" s="8"/>
      <c r="K997" s="8"/>
      <c r="L997" s="8"/>
      <c r="M997" s="8"/>
      <c r="N997" s="8"/>
      <c r="O997" s="8"/>
      <c r="P997" s="8"/>
    </row>
    <row r="998" spans="1:16" ht="22.5" customHeight="1" x14ac:dyDescent="0.35">
      <c r="A998" s="25"/>
      <c r="C998" s="121"/>
      <c r="D998" s="8"/>
      <c r="E998" s="8"/>
      <c r="F998" s="8"/>
      <c r="G998" s="9"/>
      <c r="H998" s="8"/>
      <c r="I998" s="8"/>
      <c r="J998" s="8"/>
      <c r="K998" s="8"/>
      <c r="L998" s="8"/>
      <c r="M998" s="8"/>
      <c r="N998" s="8"/>
      <c r="O998" s="8"/>
      <c r="P998" s="8"/>
    </row>
    <row r="999" spans="1:16" ht="22.5" customHeight="1" x14ac:dyDescent="0.35">
      <c r="A999" s="25"/>
      <c r="C999" s="121"/>
      <c r="D999" s="8"/>
      <c r="E999" s="8"/>
      <c r="F999" s="8"/>
      <c r="G999" s="9"/>
      <c r="H999" s="8"/>
      <c r="I999" s="8"/>
      <c r="J999" s="8"/>
      <c r="K999" s="8"/>
      <c r="L999" s="8"/>
      <c r="M999" s="8"/>
      <c r="N999" s="8"/>
      <c r="O999" s="8"/>
      <c r="P999" s="8"/>
    </row>
    <row r="1000" spans="1:16" ht="22.5" customHeight="1" x14ac:dyDescent="0.35">
      <c r="A1000" s="25"/>
      <c r="C1000" s="121"/>
      <c r="D1000" s="8"/>
      <c r="E1000" s="8"/>
      <c r="F1000" s="8"/>
      <c r="G1000" s="9"/>
      <c r="H1000" s="8"/>
      <c r="I1000" s="8"/>
      <c r="J1000" s="8"/>
      <c r="K1000" s="8"/>
      <c r="L1000" s="8"/>
      <c r="M1000" s="8"/>
      <c r="N1000" s="8"/>
      <c r="O1000" s="8"/>
      <c r="P1000" s="8"/>
    </row>
    <row r="1001" spans="1:16" ht="22.5" customHeight="1" x14ac:dyDescent="0.35">
      <c r="A1001" s="25"/>
      <c r="C1001" s="121"/>
      <c r="D1001" s="8"/>
      <c r="E1001" s="8"/>
      <c r="F1001" s="8"/>
      <c r="G1001" s="9"/>
      <c r="H1001" s="8"/>
      <c r="I1001" s="8"/>
      <c r="J1001" s="8"/>
      <c r="K1001" s="8"/>
      <c r="L1001" s="8"/>
      <c r="M1001" s="8"/>
      <c r="N1001" s="8"/>
      <c r="O1001" s="8"/>
      <c r="P1001" s="8"/>
    </row>
    <row r="1002" spans="1:16" ht="22.5" customHeight="1" x14ac:dyDescent="0.35">
      <c r="A1002" s="25"/>
      <c r="C1002" s="121"/>
      <c r="D1002" s="8"/>
      <c r="E1002" s="8"/>
      <c r="F1002" s="8"/>
      <c r="G1002" s="9"/>
      <c r="H1002" s="8"/>
      <c r="I1002" s="8"/>
      <c r="J1002" s="8"/>
      <c r="K1002" s="8"/>
      <c r="L1002" s="8"/>
      <c r="M1002" s="8"/>
      <c r="N1002" s="8"/>
      <c r="O1002" s="8"/>
      <c r="P1002" s="8"/>
    </row>
    <row r="1003" spans="1:16" ht="22.5" customHeight="1" x14ac:dyDescent="0.35">
      <c r="A1003" s="25"/>
      <c r="C1003" s="121"/>
      <c r="D1003" s="8"/>
      <c r="E1003" s="8"/>
      <c r="F1003" s="8"/>
      <c r="G1003" s="9"/>
      <c r="H1003" s="8"/>
      <c r="I1003" s="8"/>
      <c r="J1003" s="8"/>
      <c r="K1003" s="8"/>
      <c r="L1003" s="8"/>
      <c r="M1003" s="8"/>
      <c r="N1003" s="8"/>
      <c r="O1003" s="8"/>
      <c r="P1003" s="8"/>
    </row>
    <row r="1004" spans="1:16" ht="22.5" customHeight="1" x14ac:dyDescent="0.35">
      <c r="A1004" s="25"/>
      <c r="C1004" s="121"/>
      <c r="D1004" s="8"/>
      <c r="E1004" s="8"/>
      <c r="F1004" s="8"/>
      <c r="G1004" s="9"/>
      <c r="H1004" s="8"/>
      <c r="I1004" s="8"/>
      <c r="J1004" s="8"/>
      <c r="K1004" s="8"/>
      <c r="L1004" s="8"/>
      <c r="M1004" s="8"/>
      <c r="N1004" s="8"/>
      <c r="O1004" s="8"/>
      <c r="P1004" s="8"/>
    </row>
    <row r="1005" spans="1:16" ht="22.5" customHeight="1" x14ac:dyDescent="0.35">
      <c r="A1005" s="25"/>
      <c r="C1005" s="121"/>
      <c r="D1005" s="8"/>
      <c r="E1005" s="8"/>
      <c r="F1005" s="8"/>
      <c r="G1005" s="9"/>
      <c r="H1005" s="8"/>
      <c r="I1005" s="8"/>
      <c r="J1005" s="8"/>
      <c r="K1005" s="8"/>
      <c r="L1005" s="8"/>
      <c r="M1005" s="8"/>
      <c r="N1005" s="8"/>
      <c r="O1005" s="8"/>
      <c r="P1005" s="8"/>
    </row>
    <row r="1006" spans="1:16" ht="22.5" customHeight="1" x14ac:dyDescent="0.35">
      <c r="A1006" s="25"/>
      <c r="C1006" s="121"/>
      <c r="D1006" s="8"/>
      <c r="E1006" s="8"/>
      <c r="F1006" s="8"/>
      <c r="G1006" s="9"/>
      <c r="H1006" s="8"/>
      <c r="I1006" s="8"/>
      <c r="J1006" s="8"/>
      <c r="K1006" s="8"/>
      <c r="L1006" s="8"/>
      <c r="M1006" s="8"/>
      <c r="N1006" s="8"/>
      <c r="O1006" s="8"/>
      <c r="P1006" s="8"/>
    </row>
    <row r="1007" spans="1:16" ht="22.5" customHeight="1" x14ac:dyDescent="0.35">
      <c r="A1007" s="25"/>
      <c r="C1007" s="121"/>
      <c r="D1007" s="8"/>
      <c r="E1007" s="8"/>
      <c r="F1007" s="8"/>
      <c r="G1007" s="9"/>
      <c r="H1007" s="8"/>
      <c r="I1007" s="8"/>
      <c r="J1007" s="8"/>
      <c r="K1007" s="8"/>
      <c r="L1007" s="8"/>
      <c r="M1007" s="8"/>
      <c r="N1007" s="8"/>
      <c r="O1007" s="8"/>
      <c r="P1007" s="8"/>
    </row>
    <row r="1008" spans="1:16" ht="22.5" customHeight="1" x14ac:dyDescent="0.35">
      <c r="A1008" s="25"/>
      <c r="C1008" s="121"/>
      <c r="D1008" s="8"/>
      <c r="E1008" s="8"/>
      <c r="F1008" s="8"/>
      <c r="G1008" s="9"/>
      <c r="H1008" s="8"/>
      <c r="I1008" s="8"/>
      <c r="J1008" s="8"/>
      <c r="K1008" s="8"/>
      <c r="L1008" s="8"/>
      <c r="M1008" s="8"/>
      <c r="N1008" s="8"/>
      <c r="O1008" s="8"/>
      <c r="P1008" s="8"/>
    </row>
    <row r="1009" spans="1:16" ht="22.5" customHeight="1" x14ac:dyDescent="0.35">
      <c r="A1009" s="25"/>
      <c r="C1009" s="121"/>
      <c r="D1009" s="8"/>
      <c r="E1009" s="8"/>
      <c r="F1009" s="8"/>
      <c r="G1009" s="9"/>
      <c r="H1009" s="8"/>
      <c r="I1009" s="8"/>
      <c r="J1009" s="8"/>
      <c r="K1009" s="8"/>
      <c r="L1009" s="8"/>
      <c r="M1009" s="8"/>
      <c r="N1009" s="8"/>
      <c r="O1009" s="8"/>
      <c r="P1009" s="8"/>
    </row>
    <row r="1010" spans="1:16" ht="22.5" customHeight="1" x14ac:dyDescent="0.35">
      <c r="A1010" s="25"/>
      <c r="C1010" s="121"/>
      <c r="D1010" s="8"/>
      <c r="E1010" s="8"/>
      <c r="F1010" s="8"/>
      <c r="G1010" s="9"/>
      <c r="H1010" s="8"/>
      <c r="I1010" s="8"/>
      <c r="J1010" s="8"/>
      <c r="K1010" s="8"/>
      <c r="L1010" s="8"/>
      <c r="M1010" s="8"/>
      <c r="N1010" s="8"/>
      <c r="O1010" s="8"/>
      <c r="P1010" s="8"/>
    </row>
    <row r="1011" spans="1:16" ht="22.5" customHeight="1" x14ac:dyDescent="0.35">
      <c r="A1011" s="25"/>
      <c r="C1011" s="121"/>
      <c r="D1011" s="8"/>
      <c r="E1011" s="8"/>
      <c r="F1011" s="8"/>
      <c r="G1011" s="9"/>
      <c r="H1011" s="8"/>
      <c r="I1011" s="8"/>
      <c r="J1011" s="8"/>
      <c r="K1011" s="8"/>
      <c r="L1011" s="8"/>
      <c r="M1011" s="8"/>
      <c r="N1011" s="8"/>
      <c r="O1011" s="8"/>
      <c r="P1011" s="8"/>
    </row>
    <row r="1012" spans="1:16" ht="22.5" customHeight="1" x14ac:dyDescent="0.35">
      <c r="A1012" s="25"/>
      <c r="C1012" s="121"/>
      <c r="D1012" s="8"/>
      <c r="E1012" s="8"/>
      <c r="F1012" s="8"/>
      <c r="G1012" s="9"/>
      <c r="H1012" s="8"/>
      <c r="I1012" s="8"/>
      <c r="J1012" s="8"/>
      <c r="K1012" s="8"/>
      <c r="L1012" s="8"/>
      <c r="M1012" s="8"/>
      <c r="N1012" s="8"/>
      <c r="O1012" s="8"/>
      <c r="P1012" s="8"/>
    </row>
    <row r="1013" spans="1:16" ht="22.5" customHeight="1" x14ac:dyDescent="0.35">
      <c r="A1013" s="25"/>
      <c r="C1013" s="121"/>
      <c r="D1013" s="8"/>
      <c r="E1013" s="8"/>
      <c r="F1013" s="8"/>
      <c r="G1013" s="9"/>
      <c r="H1013" s="8"/>
      <c r="I1013" s="8"/>
      <c r="J1013" s="8"/>
      <c r="K1013" s="8"/>
      <c r="L1013" s="8"/>
      <c r="M1013" s="8"/>
      <c r="N1013" s="8"/>
      <c r="O1013" s="8"/>
      <c r="P1013" s="8"/>
    </row>
    <row r="1014" spans="1:16" ht="22.5" customHeight="1" x14ac:dyDescent="0.35">
      <c r="A1014" s="25"/>
      <c r="C1014" s="121"/>
      <c r="D1014" s="8"/>
      <c r="E1014" s="8"/>
      <c r="F1014" s="8"/>
      <c r="G1014" s="9"/>
      <c r="H1014" s="8"/>
      <c r="I1014" s="8"/>
      <c r="J1014" s="8"/>
      <c r="K1014" s="8"/>
      <c r="L1014" s="8"/>
      <c r="M1014" s="8"/>
      <c r="N1014" s="8"/>
      <c r="O1014" s="8"/>
      <c r="P1014" s="8"/>
    </row>
    <row r="1015" spans="1:16" ht="22.5" customHeight="1" x14ac:dyDescent="0.35">
      <c r="A1015" s="25"/>
      <c r="C1015" s="121"/>
      <c r="D1015" s="8"/>
      <c r="E1015" s="8"/>
      <c r="F1015" s="8"/>
      <c r="G1015" s="9"/>
      <c r="H1015" s="8"/>
      <c r="I1015" s="8"/>
      <c r="J1015" s="8"/>
      <c r="K1015" s="8"/>
      <c r="L1015" s="8"/>
      <c r="M1015" s="8"/>
      <c r="N1015" s="8"/>
      <c r="O1015" s="8"/>
      <c r="P1015" s="8"/>
    </row>
    <row r="1016" spans="1:16" ht="22.5" customHeight="1" x14ac:dyDescent="0.35">
      <c r="A1016" s="25"/>
      <c r="C1016" s="121"/>
      <c r="D1016" s="8"/>
      <c r="E1016" s="8"/>
      <c r="F1016" s="8"/>
      <c r="G1016" s="9"/>
      <c r="H1016" s="8"/>
      <c r="I1016" s="8"/>
      <c r="J1016" s="8"/>
      <c r="K1016" s="8"/>
      <c r="L1016" s="8"/>
      <c r="M1016" s="8"/>
      <c r="N1016" s="8"/>
      <c r="O1016" s="8"/>
      <c r="P1016" s="8"/>
    </row>
    <row r="1017" spans="1:16" ht="22.5" customHeight="1" x14ac:dyDescent="0.35">
      <c r="A1017" s="25"/>
      <c r="C1017" s="121"/>
      <c r="D1017" s="8"/>
      <c r="E1017" s="8"/>
      <c r="F1017" s="8"/>
      <c r="G1017" s="9"/>
      <c r="H1017" s="8"/>
      <c r="I1017" s="8"/>
      <c r="J1017" s="8"/>
      <c r="K1017" s="8"/>
      <c r="L1017" s="8"/>
      <c r="M1017" s="8"/>
      <c r="N1017" s="8"/>
      <c r="O1017" s="8"/>
      <c r="P1017" s="8"/>
    </row>
    <row r="1018" spans="1:16" ht="22.5" customHeight="1" x14ac:dyDescent="0.35">
      <c r="A1018" s="25"/>
      <c r="C1018" s="121"/>
      <c r="D1018" s="8"/>
      <c r="E1018" s="8"/>
      <c r="F1018" s="8"/>
      <c r="G1018" s="9"/>
      <c r="H1018" s="8"/>
      <c r="I1018" s="8"/>
      <c r="J1018" s="8"/>
      <c r="K1018" s="8"/>
      <c r="L1018" s="8"/>
      <c r="M1018" s="8"/>
      <c r="N1018" s="8"/>
      <c r="O1018" s="8"/>
      <c r="P1018" s="8"/>
    </row>
    <row r="1019" spans="1:16" ht="22.5" customHeight="1" x14ac:dyDescent="0.35">
      <c r="A1019" s="25"/>
      <c r="C1019" s="121"/>
      <c r="D1019" s="8"/>
      <c r="E1019" s="8"/>
      <c r="F1019" s="8"/>
      <c r="G1019" s="9"/>
      <c r="H1019" s="8"/>
      <c r="I1019" s="8"/>
      <c r="J1019" s="8"/>
      <c r="K1019" s="8"/>
      <c r="L1019" s="8"/>
      <c r="M1019" s="8"/>
      <c r="N1019" s="8"/>
      <c r="O1019" s="8"/>
      <c r="P1019" s="8"/>
    </row>
    <row r="1020" spans="1:16" ht="22.5" customHeight="1" x14ac:dyDescent="0.35">
      <c r="A1020" s="25"/>
      <c r="C1020" s="121"/>
      <c r="D1020" s="8"/>
      <c r="E1020" s="8"/>
      <c r="F1020" s="8"/>
      <c r="G1020" s="9"/>
      <c r="H1020" s="8"/>
      <c r="I1020" s="8"/>
      <c r="J1020" s="8"/>
      <c r="K1020" s="8"/>
      <c r="L1020" s="8"/>
      <c r="M1020" s="8"/>
      <c r="N1020" s="8"/>
      <c r="O1020" s="8"/>
      <c r="P1020" s="8"/>
    </row>
    <row r="1021" spans="1:16" ht="22.5" customHeight="1" x14ac:dyDescent="0.35">
      <c r="A1021" s="25"/>
      <c r="C1021" s="121"/>
      <c r="D1021" s="8"/>
      <c r="E1021" s="8"/>
      <c r="F1021" s="8"/>
      <c r="G1021" s="9"/>
      <c r="H1021" s="8"/>
      <c r="I1021" s="8"/>
      <c r="J1021" s="8"/>
      <c r="K1021" s="8"/>
      <c r="L1021" s="8"/>
      <c r="M1021" s="8"/>
      <c r="N1021" s="8"/>
      <c r="O1021" s="8"/>
      <c r="P1021" s="8"/>
    </row>
    <row r="1022" spans="1:16" ht="22.5" customHeight="1" x14ac:dyDescent="0.35">
      <c r="A1022" s="25"/>
      <c r="C1022" s="121"/>
      <c r="D1022" s="8"/>
      <c r="E1022" s="8"/>
      <c r="F1022" s="8"/>
      <c r="G1022" s="9"/>
      <c r="H1022" s="8"/>
      <c r="I1022" s="8"/>
      <c r="J1022" s="8"/>
      <c r="K1022" s="8"/>
      <c r="L1022" s="8"/>
      <c r="M1022" s="8"/>
      <c r="N1022" s="8"/>
      <c r="O1022" s="8"/>
      <c r="P1022" s="8"/>
    </row>
    <row r="1023" spans="1:16" ht="22.5" customHeight="1" x14ac:dyDescent="0.35">
      <c r="A1023" s="25"/>
      <c r="C1023" s="121"/>
      <c r="D1023" s="8"/>
      <c r="E1023" s="8"/>
      <c r="F1023" s="8"/>
      <c r="G1023" s="9"/>
      <c r="H1023" s="8"/>
      <c r="I1023" s="8"/>
      <c r="J1023" s="8"/>
      <c r="K1023" s="8"/>
      <c r="L1023" s="8"/>
      <c r="M1023" s="8"/>
      <c r="N1023" s="8"/>
      <c r="O1023" s="8"/>
      <c r="P1023" s="8"/>
    </row>
    <row r="1024" spans="1:16" ht="22.5" customHeight="1" x14ac:dyDescent="0.35">
      <c r="A1024" s="25"/>
      <c r="C1024" s="121"/>
      <c r="D1024" s="8"/>
      <c r="E1024" s="8"/>
      <c r="F1024" s="8"/>
      <c r="G1024" s="9"/>
      <c r="H1024" s="8"/>
      <c r="I1024" s="8"/>
      <c r="J1024" s="8"/>
      <c r="K1024" s="8"/>
      <c r="L1024" s="8"/>
      <c r="M1024" s="8"/>
      <c r="N1024" s="8"/>
      <c r="O1024" s="8"/>
      <c r="P1024" s="8"/>
    </row>
    <row r="1025" spans="1:16" ht="22.5" customHeight="1" x14ac:dyDescent="0.35">
      <c r="A1025" s="25"/>
      <c r="C1025" s="121"/>
      <c r="D1025" s="8"/>
      <c r="E1025" s="8"/>
      <c r="F1025" s="8"/>
      <c r="G1025" s="9"/>
      <c r="H1025" s="8"/>
      <c r="I1025" s="8"/>
      <c r="J1025" s="8"/>
      <c r="K1025" s="8"/>
      <c r="L1025" s="8"/>
      <c r="M1025" s="8"/>
      <c r="N1025" s="8"/>
      <c r="O1025" s="8"/>
      <c r="P1025" s="8"/>
    </row>
    <row r="1026" spans="1:16" ht="22.5" customHeight="1" x14ac:dyDescent="0.35">
      <c r="A1026" s="25"/>
      <c r="C1026" s="121"/>
      <c r="D1026" s="8"/>
      <c r="E1026" s="8"/>
      <c r="F1026" s="8"/>
      <c r="G1026" s="9"/>
      <c r="H1026" s="8"/>
      <c r="I1026" s="8"/>
      <c r="J1026" s="8"/>
      <c r="K1026" s="8"/>
      <c r="L1026" s="8"/>
      <c r="M1026" s="8"/>
      <c r="N1026" s="8"/>
      <c r="O1026" s="8"/>
      <c r="P1026" s="8"/>
    </row>
    <row r="1027" spans="1:16" ht="22.5" customHeight="1" x14ac:dyDescent="0.35">
      <c r="A1027" s="25"/>
      <c r="C1027" s="121"/>
      <c r="D1027" s="8"/>
      <c r="E1027" s="8"/>
      <c r="F1027" s="8"/>
      <c r="G1027" s="9"/>
      <c r="H1027" s="8"/>
      <c r="I1027" s="8"/>
      <c r="J1027" s="8"/>
      <c r="K1027" s="8"/>
      <c r="L1027" s="8"/>
      <c r="M1027" s="8"/>
      <c r="N1027" s="8"/>
      <c r="O1027" s="8"/>
      <c r="P1027" s="8"/>
    </row>
    <row r="1028" spans="1:16" ht="22.5" customHeight="1" x14ac:dyDescent="0.35">
      <c r="A1028" s="25"/>
      <c r="C1028" s="121"/>
      <c r="D1028" s="8"/>
      <c r="E1028" s="8"/>
      <c r="F1028" s="8"/>
      <c r="G1028" s="9"/>
      <c r="H1028" s="8"/>
      <c r="I1028" s="8"/>
      <c r="J1028" s="8"/>
      <c r="K1028" s="8"/>
      <c r="L1028" s="8"/>
      <c r="M1028" s="8"/>
      <c r="N1028" s="8"/>
      <c r="O1028" s="8"/>
      <c r="P1028" s="8"/>
    </row>
    <row r="1029" spans="1:16" ht="22.5" customHeight="1" x14ac:dyDescent="0.35">
      <c r="A1029" s="25"/>
      <c r="C1029" s="121"/>
      <c r="D1029" s="8"/>
      <c r="E1029" s="8"/>
      <c r="F1029" s="8"/>
      <c r="G1029" s="9"/>
      <c r="H1029" s="8"/>
      <c r="I1029" s="8"/>
      <c r="J1029" s="8"/>
      <c r="K1029" s="8"/>
      <c r="L1029" s="8"/>
      <c r="M1029" s="8"/>
      <c r="N1029" s="8"/>
      <c r="O1029" s="8"/>
      <c r="P1029" s="8"/>
    </row>
    <row r="1030" spans="1:16" ht="22.5" customHeight="1" x14ac:dyDescent="0.35">
      <c r="A1030" s="25"/>
      <c r="C1030" s="121"/>
      <c r="D1030" s="8"/>
      <c r="E1030" s="8"/>
      <c r="F1030" s="8"/>
      <c r="G1030" s="9"/>
      <c r="H1030" s="8"/>
      <c r="I1030" s="8"/>
      <c r="J1030" s="8"/>
      <c r="K1030" s="8"/>
      <c r="L1030" s="8"/>
      <c r="M1030" s="8"/>
      <c r="N1030" s="8"/>
      <c r="O1030" s="8"/>
      <c r="P1030" s="8"/>
    </row>
    <row r="1031" spans="1:16" ht="22.5" customHeight="1" x14ac:dyDescent="0.35">
      <c r="A1031" s="25"/>
      <c r="C1031" s="121"/>
      <c r="D1031" s="8"/>
      <c r="E1031" s="8"/>
      <c r="F1031" s="8"/>
      <c r="G1031" s="9"/>
      <c r="H1031" s="8"/>
      <c r="I1031" s="8"/>
      <c r="J1031" s="8"/>
      <c r="K1031" s="8"/>
      <c r="L1031" s="8"/>
      <c r="M1031" s="8"/>
      <c r="N1031" s="8"/>
      <c r="O1031" s="8"/>
      <c r="P1031" s="8"/>
    </row>
    <row r="1032" spans="1:16" ht="22.5" customHeight="1" x14ac:dyDescent="0.35">
      <c r="A1032" s="25"/>
      <c r="C1032" s="121"/>
      <c r="D1032" s="8"/>
      <c r="E1032" s="8"/>
      <c r="F1032" s="8"/>
      <c r="G1032" s="9"/>
      <c r="H1032" s="8"/>
      <c r="I1032" s="8"/>
      <c r="J1032" s="8"/>
      <c r="K1032" s="8"/>
      <c r="L1032" s="8"/>
      <c r="M1032" s="8"/>
      <c r="N1032" s="8"/>
      <c r="O1032" s="8"/>
      <c r="P1032" s="8"/>
    </row>
    <row r="1033" spans="1:16" ht="22.5" customHeight="1" x14ac:dyDescent="0.35">
      <c r="A1033" s="25"/>
      <c r="C1033" s="121"/>
      <c r="D1033" s="8"/>
      <c r="E1033" s="8"/>
      <c r="F1033" s="8"/>
      <c r="G1033" s="9"/>
      <c r="H1033" s="8"/>
      <c r="I1033" s="8"/>
      <c r="J1033" s="8"/>
      <c r="K1033" s="8"/>
      <c r="L1033" s="8"/>
      <c r="M1033" s="8"/>
      <c r="N1033" s="8"/>
      <c r="O1033" s="8"/>
      <c r="P1033" s="8"/>
    </row>
    <row r="1034" spans="1:16" ht="22.5" customHeight="1" x14ac:dyDescent="0.35">
      <c r="A1034" s="25"/>
      <c r="C1034" s="121"/>
      <c r="D1034" s="8"/>
      <c r="E1034" s="8"/>
      <c r="F1034" s="8"/>
      <c r="G1034" s="9"/>
      <c r="H1034" s="8"/>
      <c r="I1034" s="8"/>
      <c r="J1034" s="8"/>
      <c r="K1034" s="8"/>
      <c r="L1034" s="8"/>
      <c r="M1034" s="8"/>
      <c r="N1034" s="8"/>
      <c r="O1034" s="8"/>
      <c r="P1034" s="8"/>
    </row>
    <row r="1035" spans="1:16" ht="22.5" customHeight="1" x14ac:dyDescent="0.35">
      <c r="A1035" s="25"/>
      <c r="C1035" s="121"/>
      <c r="D1035" s="8"/>
      <c r="E1035" s="8"/>
      <c r="F1035" s="8"/>
      <c r="G1035" s="9"/>
      <c r="H1035" s="8"/>
      <c r="I1035" s="8"/>
      <c r="J1035" s="8"/>
      <c r="K1035" s="8"/>
      <c r="L1035" s="8"/>
      <c r="M1035" s="8"/>
      <c r="N1035" s="8"/>
      <c r="O1035" s="8"/>
      <c r="P1035" s="8"/>
    </row>
    <row r="1036" spans="1:16" ht="22.5" customHeight="1" x14ac:dyDescent="0.35">
      <c r="A1036" s="25"/>
      <c r="C1036" s="121"/>
      <c r="D1036" s="8"/>
      <c r="E1036" s="8"/>
      <c r="F1036" s="8"/>
      <c r="G1036" s="9"/>
      <c r="H1036" s="8"/>
      <c r="I1036" s="8"/>
      <c r="J1036" s="8"/>
      <c r="K1036" s="8"/>
      <c r="L1036" s="8"/>
      <c r="M1036" s="8"/>
      <c r="N1036" s="8"/>
      <c r="O1036" s="8"/>
      <c r="P1036" s="8"/>
    </row>
    <row r="1037" spans="1:16" ht="22.5" customHeight="1" x14ac:dyDescent="0.35">
      <c r="A1037" s="25"/>
      <c r="C1037" s="121"/>
      <c r="D1037" s="8"/>
      <c r="E1037" s="8"/>
      <c r="F1037" s="8"/>
      <c r="G1037" s="9"/>
      <c r="H1037" s="8"/>
      <c r="I1037" s="8"/>
      <c r="J1037" s="8"/>
      <c r="K1037" s="8"/>
      <c r="L1037" s="8"/>
      <c r="M1037" s="8"/>
      <c r="N1037" s="8"/>
      <c r="O1037" s="8"/>
      <c r="P1037" s="8"/>
    </row>
    <row r="1038" spans="1:16" ht="22.5" customHeight="1" x14ac:dyDescent="0.35">
      <c r="A1038" s="25"/>
      <c r="C1038" s="121"/>
      <c r="D1038" s="8"/>
      <c r="E1038" s="8"/>
      <c r="F1038" s="8"/>
      <c r="G1038" s="9"/>
      <c r="H1038" s="8"/>
      <c r="I1038" s="8"/>
      <c r="J1038" s="8"/>
      <c r="K1038" s="8"/>
      <c r="L1038" s="8"/>
      <c r="M1038" s="8"/>
      <c r="N1038" s="8"/>
      <c r="O1038" s="8"/>
      <c r="P1038" s="8"/>
    </row>
    <row r="1039" spans="1:16" ht="22.5" customHeight="1" x14ac:dyDescent="0.35">
      <c r="A1039" s="25"/>
      <c r="C1039" s="121"/>
      <c r="D1039" s="8"/>
      <c r="E1039" s="8"/>
      <c r="F1039" s="8"/>
      <c r="G1039" s="9"/>
      <c r="H1039" s="8"/>
      <c r="I1039" s="8"/>
      <c r="J1039" s="8"/>
      <c r="K1039" s="8"/>
      <c r="L1039" s="8"/>
      <c r="M1039" s="8"/>
      <c r="N1039" s="8"/>
      <c r="O1039" s="8"/>
      <c r="P1039" s="8"/>
    </row>
    <row r="1040" spans="1:16" ht="22.5" customHeight="1" x14ac:dyDescent="0.35">
      <c r="A1040" s="25"/>
      <c r="C1040" s="121"/>
      <c r="D1040" s="8"/>
      <c r="E1040" s="8"/>
      <c r="F1040" s="8"/>
      <c r="G1040" s="9"/>
      <c r="H1040" s="8"/>
      <c r="I1040" s="8"/>
      <c r="J1040" s="8"/>
      <c r="K1040" s="8"/>
      <c r="L1040" s="8"/>
      <c r="M1040" s="8"/>
      <c r="N1040" s="8"/>
      <c r="O1040" s="8"/>
      <c r="P1040" s="8"/>
    </row>
    <row r="1041" spans="1:16" ht="22.5" customHeight="1" x14ac:dyDescent="0.35">
      <c r="A1041" s="25"/>
      <c r="C1041" s="121"/>
      <c r="D1041" s="8"/>
      <c r="E1041" s="8"/>
      <c r="F1041" s="8"/>
      <c r="G1041" s="9"/>
      <c r="H1041" s="8"/>
      <c r="I1041" s="8"/>
      <c r="J1041" s="8"/>
      <c r="K1041" s="8"/>
      <c r="L1041" s="8"/>
      <c r="M1041" s="8"/>
      <c r="N1041" s="8"/>
      <c r="O1041" s="8"/>
      <c r="P1041" s="8"/>
    </row>
    <row r="1042" spans="1:16" ht="22.5" customHeight="1" x14ac:dyDescent="0.35">
      <c r="A1042" s="25"/>
      <c r="C1042" s="121"/>
      <c r="D1042" s="8"/>
      <c r="E1042" s="8"/>
      <c r="F1042" s="8"/>
      <c r="G1042" s="9"/>
      <c r="H1042" s="8"/>
      <c r="I1042" s="8"/>
      <c r="J1042" s="8"/>
      <c r="K1042" s="8"/>
      <c r="L1042" s="8"/>
      <c r="M1042" s="8"/>
      <c r="N1042" s="8"/>
      <c r="O1042" s="8"/>
      <c r="P1042" s="8"/>
    </row>
    <row r="1043" spans="1:16" ht="22.5" customHeight="1" x14ac:dyDescent="0.35">
      <c r="A1043" s="25"/>
      <c r="C1043" s="121"/>
      <c r="D1043" s="8"/>
      <c r="E1043" s="8"/>
      <c r="F1043" s="8"/>
      <c r="G1043" s="9"/>
      <c r="H1043" s="8"/>
      <c r="I1043" s="8"/>
      <c r="J1043" s="8"/>
      <c r="K1043" s="8"/>
      <c r="L1043" s="8"/>
      <c r="M1043" s="8"/>
      <c r="N1043" s="8"/>
      <c r="O1043" s="8"/>
      <c r="P1043" s="8"/>
    </row>
    <row r="1044" spans="1:16" ht="22.5" customHeight="1" x14ac:dyDescent="0.35">
      <c r="A1044" s="25"/>
      <c r="C1044" s="121"/>
      <c r="D1044" s="8"/>
      <c r="E1044" s="8"/>
      <c r="F1044" s="8"/>
      <c r="G1044" s="9"/>
      <c r="H1044" s="8"/>
      <c r="I1044" s="8"/>
      <c r="J1044" s="8"/>
      <c r="K1044" s="8"/>
      <c r="L1044" s="8"/>
      <c r="M1044" s="8"/>
      <c r="N1044" s="8"/>
      <c r="O1044" s="8"/>
      <c r="P1044" s="8"/>
    </row>
    <row r="1045" spans="1:16" ht="22.5" customHeight="1" x14ac:dyDescent="0.35">
      <c r="A1045" s="25"/>
      <c r="C1045" s="121"/>
      <c r="D1045" s="8"/>
      <c r="E1045" s="8"/>
      <c r="F1045" s="8"/>
      <c r="G1045" s="9"/>
      <c r="H1045" s="8"/>
      <c r="I1045" s="8"/>
      <c r="J1045" s="8"/>
      <c r="K1045" s="8"/>
      <c r="L1045" s="8"/>
      <c r="M1045" s="8"/>
      <c r="N1045" s="8"/>
      <c r="O1045" s="8"/>
      <c r="P1045" s="8"/>
    </row>
    <row r="1046" spans="1:16" ht="22.5" customHeight="1" x14ac:dyDescent="0.35">
      <c r="A1046" s="25"/>
      <c r="C1046" s="121"/>
      <c r="D1046" s="8"/>
      <c r="E1046" s="8"/>
      <c r="F1046" s="8"/>
      <c r="G1046" s="9"/>
      <c r="H1046" s="8"/>
      <c r="I1046" s="8"/>
      <c r="J1046" s="8"/>
      <c r="K1046" s="8"/>
      <c r="L1046" s="8"/>
      <c r="M1046" s="8"/>
      <c r="N1046" s="8"/>
      <c r="O1046" s="8"/>
      <c r="P1046" s="8"/>
    </row>
    <row r="1047" spans="1:16" ht="22.5" customHeight="1" x14ac:dyDescent="0.35">
      <c r="A1047" s="25"/>
      <c r="C1047" s="121"/>
      <c r="D1047" s="8"/>
      <c r="E1047" s="8"/>
      <c r="F1047" s="8"/>
      <c r="G1047" s="9"/>
      <c r="H1047" s="8"/>
      <c r="I1047" s="8"/>
      <c r="J1047" s="8"/>
      <c r="K1047" s="8"/>
      <c r="L1047" s="8"/>
      <c r="M1047" s="8"/>
      <c r="N1047" s="8"/>
      <c r="O1047" s="8"/>
      <c r="P1047" s="8"/>
    </row>
    <row r="1048" spans="1:16" ht="22.5" customHeight="1" x14ac:dyDescent="0.35">
      <c r="A1048" s="25"/>
      <c r="C1048" s="121"/>
      <c r="D1048" s="8"/>
      <c r="E1048" s="8"/>
      <c r="F1048" s="8"/>
      <c r="G1048" s="9"/>
      <c r="H1048" s="8"/>
      <c r="I1048" s="8"/>
      <c r="J1048" s="8"/>
      <c r="K1048" s="8"/>
      <c r="L1048" s="8"/>
      <c r="M1048" s="8"/>
      <c r="N1048" s="8"/>
      <c r="O1048" s="8"/>
      <c r="P1048" s="8"/>
    </row>
    <row r="1049" spans="1:16" ht="22.5" customHeight="1" x14ac:dyDescent="0.35">
      <c r="A1049" s="25"/>
      <c r="C1049" s="121"/>
      <c r="D1049" s="8"/>
      <c r="E1049" s="8"/>
      <c r="F1049" s="8"/>
      <c r="G1049" s="9"/>
      <c r="H1049" s="8"/>
      <c r="I1049" s="8"/>
      <c r="J1049" s="8"/>
      <c r="K1049" s="8"/>
      <c r="L1049" s="8"/>
      <c r="M1049" s="8"/>
      <c r="N1049" s="8"/>
      <c r="O1049" s="8"/>
      <c r="P1049" s="8"/>
    </row>
    <row r="1050" spans="1:16" ht="22.5" customHeight="1" x14ac:dyDescent="0.35">
      <c r="A1050" s="25"/>
      <c r="C1050" s="121"/>
      <c r="D1050" s="8"/>
      <c r="E1050" s="8"/>
      <c r="F1050" s="8"/>
      <c r="G1050" s="9"/>
      <c r="H1050" s="8"/>
      <c r="I1050" s="8"/>
      <c r="J1050" s="8"/>
      <c r="K1050" s="8"/>
      <c r="L1050" s="8"/>
      <c r="M1050" s="8"/>
      <c r="N1050" s="8"/>
      <c r="O1050" s="8"/>
      <c r="P1050" s="8"/>
    </row>
    <row r="1051" spans="1:16" ht="22.5" customHeight="1" x14ac:dyDescent="0.35">
      <c r="A1051" s="25"/>
      <c r="C1051" s="121"/>
      <c r="D1051" s="8"/>
      <c r="E1051" s="8"/>
      <c r="F1051" s="8"/>
      <c r="G1051" s="9"/>
      <c r="H1051" s="8"/>
      <c r="I1051" s="8"/>
      <c r="J1051" s="8"/>
      <c r="K1051" s="8"/>
      <c r="L1051" s="8"/>
      <c r="M1051" s="8"/>
      <c r="N1051" s="8"/>
      <c r="O1051" s="8"/>
      <c r="P1051" s="8"/>
    </row>
    <row r="1052" spans="1:16" ht="22.5" customHeight="1" x14ac:dyDescent="0.35">
      <c r="A1052" s="25"/>
      <c r="C1052" s="121"/>
      <c r="D1052" s="8"/>
      <c r="E1052" s="8"/>
      <c r="F1052" s="8"/>
      <c r="G1052" s="9"/>
      <c r="H1052" s="8"/>
      <c r="I1052" s="8"/>
      <c r="J1052" s="8"/>
      <c r="K1052" s="8"/>
      <c r="L1052" s="8"/>
      <c r="M1052" s="8"/>
      <c r="N1052" s="8"/>
      <c r="O1052" s="8"/>
      <c r="P1052" s="8"/>
    </row>
    <row r="1053" spans="1:16" ht="22.5" customHeight="1" x14ac:dyDescent="0.35">
      <c r="A1053" s="25"/>
      <c r="C1053" s="121"/>
      <c r="D1053" s="8"/>
      <c r="E1053" s="8"/>
      <c r="F1053" s="8"/>
      <c r="G1053" s="9"/>
      <c r="H1053" s="8"/>
      <c r="I1053" s="8"/>
      <c r="J1053" s="8"/>
      <c r="K1053" s="8"/>
      <c r="L1053" s="8"/>
      <c r="M1053" s="8"/>
      <c r="N1053" s="8"/>
      <c r="O1053" s="8"/>
      <c r="P1053" s="8"/>
    </row>
    <row r="1054" spans="1:16" ht="22.5" customHeight="1" x14ac:dyDescent="0.35">
      <c r="A1054" s="25"/>
      <c r="C1054" s="121"/>
      <c r="D1054" s="8"/>
      <c r="E1054" s="8"/>
      <c r="F1054" s="8"/>
      <c r="G1054" s="9"/>
      <c r="H1054" s="8"/>
      <c r="I1054" s="8"/>
      <c r="J1054" s="8"/>
      <c r="K1054" s="8"/>
      <c r="L1054" s="8"/>
      <c r="M1054" s="8"/>
      <c r="N1054" s="8"/>
      <c r="O1054" s="8"/>
      <c r="P1054" s="8"/>
    </row>
    <row r="1055" spans="1:16" ht="22.5" customHeight="1" x14ac:dyDescent="0.35">
      <c r="A1055" s="25"/>
      <c r="C1055" s="121"/>
      <c r="D1055" s="8"/>
      <c r="E1055" s="8"/>
      <c r="F1055" s="8"/>
      <c r="G1055" s="9"/>
      <c r="H1055" s="8"/>
      <c r="I1055" s="8"/>
      <c r="J1055" s="8"/>
      <c r="K1055" s="8"/>
      <c r="L1055" s="8"/>
      <c r="M1055" s="8"/>
      <c r="N1055" s="8"/>
      <c r="O1055" s="8"/>
      <c r="P1055" s="8"/>
    </row>
    <row r="1056" spans="1:16" ht="22.5" customHeight="1" x14ac:dyDescent="0.35">
      <c r="A1056" s="25"/>
      <c r="C1056" s="121"/>
      <c r="D1056" s="8"/>
      <c r="E1056" s="8"/>
      <c r="F1056" s="8"/>
      <c r="G1056" s="9"/>
      <c r="H1056" s="8"/>
      <c r="I1056" s="8"/>
      <c r="J1056" s="8"/>
      <c r="K1056" s="8"/>
      <c r="L1056" s="8"/>
      <c r="M1056" s="8"/>
      <c r="N1056" s="8"/>
      <c r="O1056" s="8"/>
      <c r="P1056" s="8"/>
    </row>
    <row r="1057" spans="1:16" ht="22.5" customHeight="1" x14ac:dyDescent="0.35">
      <c r="A1057" s="25"/>
      <c r="C1057" s="121"/>
      <c r="D1057" s="8"/>
      <c r="E1057" s="8"/>
      <c r="F1057" s="8"/>
      <c r="G1057" s="9"/>
      <c r="H1057" s="8"/>
      <c r="I1057" s="8"/>
      <c r="J1057" s="8"/>
      <c r="K1057" s="8"/>
      <c r="L1057" s="8"/>
      <c r="M1057" s="8"/>
      <c r="N1057" s="8"/>
      <c r="O1057" s="8"/>
      <c r="P1057" s="8"/>
    </row>
    <row r="1058" spans="1:16" ht="22.5" customHeight="1" x14ac:dyDescent="0.35">
      <c r="A1058" s="25"/>
      <c r="C1058" s="121"/>
      <c r="D1058" s="8"/>
      <c r="E1058" s="8"/>
      <c r="F1058" s="8"/>
      <c r="G1058" s="9"/>
      <c r="H1058" s="8"/>
      <c r="I1058" s="8"/>
      <c r="J1058" s="8"/>
      <c r="K1058" s="8"/>
      <c r="L1058" s="8"/>
      <c r="M1058" s="8"/>
      <c r="N1058" s="8"/>
      <c r="O1058" s="8"/>
      <c r="P1058" s="8"/>
    </row>
    <row r="1059" spans="1:16" ht="22.5" customHeight="1" x14ac:dyDescent="0.35">
      <c r="A1059" s="25"/>
      <c r="C1059" s="121"/>
      <c r="D1059" s="8"/>
      <c r="E1059" s="8"/>
      <c r="F1059" s="8"/>
      <c r="G1059" s="9"/>
      <c r="H1059" s="8"/>
      <c r="I1059" s="8"/>
      <c r="J1059" s="8"/>
      <c r="K1059" s="8"/>
      <c r="L1059" s="8"/>
      <c r="M1059" s="8"/>
      <c r="N1059" s="8"/>
      <c r="O1059" s="8"/>
      <c r="P1059" s="8"/>
    </row>
    <row r="1060" spans="1:16" ht="22.5" customHeight="1" x14ac:dyDescent="0.35">
      <c r="A1060" s="25"/>
      <c r="C1060" s="121"/>
      <c r="D1060" s="8"/>
      <c r="E1060" s="8"/>
      <c r="F1060" s="8"/>
      <c r="G1060" s="9"/>
      <c r="H1060" s="8"/>
      <c r="I1060" s="8"/>
      <c r="J1060" s="8"/>
      <c r="K1060" s="8"/>
      <c r="L1060" s="8"/>
      <c r="M1060" s="8"/>
      <c r="N1060" s="8"/>
      <c r="O1060" s="8"/>
      <c r="P1060" s="8"/>
    </row>
    <row r="1061" spans="1:16" ht="22.5" customHeight="1" x14ac:dyDescent="0.35">
      <c r="A1061" s="25"/>
      <c r="C1061" s="121"/>
      <c r="D1061" s="8"/>
      <c r="E1061" s="8"/>
      <c r="F1061" s="8"/>
      <c r="G1061" s="9"/>
      <c r="H1061" s="8"/>
      <c r="I1061" s="8"/>
      <c r="J1061" s="8"/>
      <c r="K1061" s="8"/>
      <c r="L1061" s="8"/>
      <c r="M1061" s="8"/>
      <c r="N1061" s="8"/>
      <c r="O1061" s="8"/>
      <c r="P1061" s="8"/>
    </row>
    <row r="1062" spans="1:16" ht="22.5" customHeight="1" x14ac:dyDescent="0.35">
      <c r="A1062" s="25"/>
      <c r="C1062" s="121"/>
      <c r="D1062" s="8"/>
      <c r="E1062" s="8"/>
      <c r="F1062" s="8"/>
      <c r="G1062" s="9"/>
      <c r="H1062" s="8"/>
      <c r="I1062" s="8"/>
      <c r="J1062" s="8"/>
      <c r="K1062" s="8"/>
      <c r="L1062" s="8"/>
      <c r="M1062" s="8"/>
      <c r="N1062" s="8"/>
      <c r="O1062" s="8"/>
      <c r="P1062" s="8"/>
    </row>
    <row r="1063" spans="1:16" ht="22.5" customHeight="1" x14ac:dyDescent="0.35">
      <c r="A1063" s="25"/>
      <c r="C1063" s="121"/>
      <c r="D1063" s="8"/>
      <c r="E1063" s="8"/>
      <c r="F1063" s="8"/>
      <c r="G1063" s="9"/>
      <c r="H1063" s="8"/>
      <c r="I1063" s="8"/>
      <c r="J1063" s="8"/>
      <c r="K1063" s="8"/>
      <c r="L1063" s="8"/>
      <c r="M1063" s="8"/>
      <c r="N1063" s="8"/>
      <c r="O1063" s="8"/>
      <c r="P1063" s="8"/>
    </row>
    <row r="1064" spans="1:16" ht="22.5" customHeight="1" x14ac:dyDescent="0.35">
      <c r="A1064" s="25"/>
      <c r="C1064" s="121"/>
      <c r="D1064" s="8"/>
      <c r="E1064" s="8"/>
      <c r="F1064" s="8"/>
      <c r="G1064" s="9"/>
      <c r="H1064" s="8"/>
      <c r="I1064" s="8"/>
      <c r="J1064" s="8"/>
      <c r="K1064" s="8"/>
      <c r="L1064" s="8"/>
      <c r="M1064" s="8"/>
      <c r="N1064" s="8"/>
      <c r="O1064" s="8"/>
      <c r="P1064" s="8"/>
    </row>
    <row r="1065" spans="1:16" ht="22.5" customHeight="1" x14ac:dyDescent="0.35">
      <c r="A1065" s="25"/>
      <c r="C1065" s="121"/>
      <c r="D1065" s="8"/>
      <c r="E1065" s="8"/>
      <c r="F1065" s="8"/>
      <c r="G1065" s="9"/>
      <c r="H1065" s="8"/>
      <c r="I1065" s="8"/>
      <c r="J1065" s="8"/>
      <c r="K1065" s="8"/>
      <c r="L1065" s="8"/>
      <c r="M1065" s="8"/>
      <c r="N1065" s="8"/>
      <c r="O1065" s="8"/>
      <c r="P1065" s="8"/>
    </row>
    <row r="1066" spans="1:16" ht="22.5" customHeight="1" x14ac:dyDescent="0.35">
      <c r="A1066" s="25"/>
      <c r="C1066" s="121"/>
      <c r="D1066" s="8"/>
      <c r="E1066" s="8"/>
      <c r="F1066" s="8"/>
      <c r="G1066" s="9"/>
      <c r="H1066" s="8"/>
      <c r="I1066" s="8"/>
      <c r="J1066" s="8"/>
      <c r="K1066" s="8"/>
      <c r="L1066" s="8"/>
      <c r="M1066" s="8"/>
      <c r="N1066" s="8"/>
      <c r="O1066" s="8"/>
      <c r="P1066" s="8"/>
    </row>
    <row r="1067" spans="1:16" ht="22.5" customHeight="1" x14ac:dyDescent="0.35">
      <c r="A1067" s="25"/>
      <c r="C1067" s="121"/>
      <c r="D1067" s="8"/>
      <c r="E1067" s="8"/>
      <c r="F1067" s="8"/>
      <c r="G1067" s="9"/>
      <c r="H1067" s="8"/>
      <c r="I1067" s="8"/>
      <c r="J1067" s="8"/>
      <c r="K1067" s="8"/>
      <c r="L1067" s="8"/>
      <c r="M1067" s="8"/>
      <c r="N1067" s="8"/>
      <c r="O1067" s="8"/>
      <c r="P1067" s="8"/>
    </row>
    <row r="1068" spans="1:16" ht="22.5" customHeight="1" x14ac:dyDescent="0.35">
      <c r="A1068" s="25"/>
      <c r="C1068" s="121"/>
      <c r="D1068" s="8"/>
      <c r="E1068" s="8"/>
      <c r="F1068" s="8"/>
      <c r="G1068" s="9"/>
      <c r="H1068" s="8"/>
      <c r="I1068" s="8"/>
      <c r="J1068" s="8"/>
      <c r="K1068" s="8"/>
      <c r="L1068" s="8"/>
      <c r="M1068" s="8"/>
      <c r="N1068" s="8"/>
      <c r="O1068" s="8"/>
      <c r="P1068" s="8"/>
    </row>
    <row r="1069" spans="1:16" ht="22.5" customHeight="1" x14ac:dyDescent="0.35">
      <c r="A1069" s="25"/>
      <c r="C1069" s="121"/>
      <c r="D1069" s="8"/>
      <c r="E1069" s="8"/>
      <c r="F1069" s="8"/>
      <c r="G1069" s="9"/>
      <c r="H1069" s="8"/>
      <c r="I1069" s="8"/>
      <c r="J1069" s="8"/>
      <c r="K1069" s="8"/>
      <c r="L1069" s="8"/>
      <c r="M1069" s="8"/>
      <c r="N1069" s="8"/>
      <c r="O1069" s="8"/>
      <c r="P1069" s="8"/>
    </row>
    <row r="1070" spans="1:16" ht="22.5" customHeight="1" x14ac:dyDescent="0.35">
      <c r="A1070" s="25"/>
      <c r="C1070" s="121"/>
      <c r="D1070" s="8"/>
      <c r="E1070" s="8"/>
      <c r="F1070" s="8"/>
      <c r="G1070" s="9"/>
      <c r="H1070" s="8"/>
      <c r="I1070" s="8"/>
      <c r="J1070" s="8"/>
      <c r="K1070" s="8"/>
      <c r="L1070" s="8"/>
      <c r="M1070" s="8"/>
      <c r="N1070" s="8"/>
      <c r="O1070" s="8"/>
      <c r="P1070" s="8"/>
    </row>
    <row r="1071" spans="1:16" ht="22.5" customHeight="1" x14ac:dyDescent="0.35">
      <c r="A1071" s="25"/>
      <c r="C1071" s="121"/>
      <c r="D1071" s="8"/>
      <c r="E1071" s="8"/>
      <c r="F1071" s="8"/>
      <c r="G1071" s="9"/>
      <c r="H1071" s="8"/>
      <c r="I1071" s="8"/>
      <c r="J1071" s="8"/>
      <c r="K1071" s="8"/>
      <c r="L1071" s="8"/>
      <c r="M1071" s="8"/>
      <c r="N1071" s="8"/>
      <c r="O1071" s="8"/>
      <c r="P1071" s="8"/>
    </row>
    <row r="1072" spans="1:16" ht="22.5" customHeight="1" x14ac:dyDescent="0.35">
      <c r="A1072" s="25"/>
      <c r="C1072" s="121"/>
      <c r="D1072" s="8"/>
      <c r="E1072" s="8"/>
      <c r="F1072" s="8"/>
      <c r="G1072" s="9"/>
      <c r="H1072" s="8"/>
      <c r="I1072" s="8"/>
      <c r="J1072" s="8"/>
      <c r="K1072" s="8"/>
      <c r="L1072" s="8"/>
      <c r="M1072" s="8"/>
      <c r="N1072" s="8"/>
      <c r="O1072" s="8"/>
      <c r="P1072" s="8"/>
    </row>
    <row r="1073" spans="1:16" ht="22.5" customHeight="1" x14ac:dyDescent="0.35">
      <c r="A1073" s="25"/>
      <c r="C1073" s="121"/>
      <c r="D1073" s="8"/>
      <c r="E1073" s="8"/>
      <c r="F1073" s="8"/>
      <c r="G1073" s="9"/>
      <c r="H1073" s="8"/>
      <c r="I1073" s="8"/>
      <c r="J1073" s="8"/>
      <c r="K1073" s="8"/>
      <c r="L1073" s="8"/>
      <c r="M1073" s="8"/>
      <c r="N1073" s="8"/>
      <c r="O1073" s="8"/>
      <c r="P1073" s="8"/>
    </row>
    <row r="1074" spans="1:16" ht="22.5" customHeight="1" x14ac:dyDescent="0.35">
      <c r="A1074" s="25"/>
      <c r="C1074" s="121"/>
      <c r="D1074" s="8"/>
      <c r="E1074" s="8"/>
      <c r="F1074" s="8"/>
      <c r="G1074" s="9"/>
      <c r="H1074" s="8"/>
      <c r="I1074" s="8"/>
      <c r="J1074" s="8"/>
      <c r="K1074" s="8"/>
      <c r="L1074" s="8"/>
      <c r="M1074" s="8"/>
      <c r="N1074" s="8"/>
      <c r="O1074" s="8"/>
      <c r="P1074" s="8"/>
    </row>
    <row r="1075" spans="1:16" ht="22.5" customHeight="1" x14ac:dyDescent="0.35">
      <c r="A1075" s="25"/>
      <c r="C1075" s="121"/>
      <c r="D1075" s="8"/>
      <c r="E1075" s="8"/>
      <c r="F1075" s="8"/>
      <c r="G1075" s="9"/>
      <c r="H1075" s="8"/>
      <c r="I1075" s="8"/>
      <c r="J1075" s="8"/>
      <c r="K1075" s="8"/>
      <c r="L1075" s="8"/>
      <c r="M1075" s="8"/>
      <c r="N1075" s="8"/>
      <c r="O1075" s="8"/>
      <c r="P1075" s="8"/>
    </row>
    <row r="1076" spans="1:16" ht="22.5" customHeight="1" x14ac:dyDescent="0.35">
      <c r="A1076" s="25"/>
      <c r="C1076" s="121"/>
      <c r="D1076" s="8"/>
      <c r="E1076" s="8"/>
      <c r="F1076" s="8"/>
      <c r="G1076" s="9"/>
      <c r="H1076" s="8"/>
      <c r="I1076" s="8"/>
      <c r="J1076" s="8"/>
      <c r="K1076" s="8"/>
      <c r="L1076" s="8"/>
      <c r="M1076" s="8"/>
      <c r="N1076" s="8"/>
      <c r="O1076" s="8"/>
      <c r="P1076" s="8"/>
    </row>
    <row r="1077" spans="1:16" ht="22.5" customHeight="1" x14ac:dyDescent="0.35">
      <c r="A1077" s="25"/>
      <c r="C1077" s="121"/>
      <c r="D1077" s="8"/>
      <c r="E1077" s="8"/>
      <c r="F1077" s="8"/>
      <c r="G1077" s="9"/>
      <c r="H1077" s="8"/>
      <c r="I1077" s="8"/>
      <c r="J1077" s="8"/>
      <c r="K1077" s="8"/>
      <c r="L1077" s="8"/>
      <c r="M1077" s="8"/>
      <c r="N1077" s="8"/>
      <c r="O1077" s="8"/>
      <c r="P1077" s="8"/>
    </row>
    <row r="1078" spans="1:16" ht="22.5" customHeight="1" x14ac:dyDescent="0.35">
      <c r="A1078" s="25"/>
      <c r="C1078" s="121"/>
      <c r="D1078" s="8"/>
      <c r="E1078" s="8"/>
      <c r="F1078" s="8"/>
      <c r="G1078" s="9"/>
      <c r="H1078" s="8"/>
      <c r="I1078" s="8"/>
      <c r="J1078" s="8"/>
      <c r="K1078" s="8"/>
      <c r="L1078" s="8"/>
      <c r="M1078" s="8"/>
      <c r="N1078" s="8"/>
      <c r="O1078" s="8"/>
      <c r="P1078" s="8"/>
    </row>
    <row r="1079" spans="1:16" ht="22.5" customHeight="1" x14ac:dyDescent="0.35">
      <c r="A1079" s="25"/>
      <c r="C1079" s="121"/>
      <c r="D1079" s="8"/>
      <c r="E1079" s="8"/>
      <c r="F1079" s="8"/>
      <c r="G1079" s="9"/>
      <c r="H1079" s="8"/>
      <c r="I1079" s="8"/>
      <c r="J1079" s="8"/>
      <c r="K1079" s="8"/>
      <c r="L1079" s="8"/>
      <c r="M1079" s="8"/>
      <c r="N1079" s="8"/>
      <c r="O1079" s="8"/>
      <c r="P1079" s="8"/>
    </row>
    <row r="1080" spans="1:16" ht="22.5" customHeight="1" x14ac:dyDescent="0.35">
      <c r="A1080" s="25"/>
      <c r="C1080" s="121"/>
      <c r="D1080" s="8"/>
      <c r="E1080" s="8"/>
      <c r="F1080" s="8"/>
      <c r="G1080" s="9"/>
      <c r="H1080" s="8"/>
      <c r="I1080" s="8"/>
      <c r="J1080" s="8"/>
      <c r="K1080" s="8"/>
      <c r="L1080" s="8"/>
      <c r="M1080" s="8"/>
      <c r="N1080" s="8"/>
      <c r="O1080" s="8"/>
      <c r="P1080" s="8"/>
    </row>
    <row r="1081" spans="1:16" ht="22.5" customHeight="1" x14ac:dyDescent="0.35">
      <c r="A1081" s="25"/>
      <c r="C1081" s="121"/>
      <c r="D1081" s="8"/>
      <c r="E1081" s="8"/>
      <c r="F1081" s="8"/>
      <c r="G1081" s="9"/>
      <c r="H1081" s="8"/>
      <c r="I1081" s="8"/>
      <c r="J1081" s="8"/>
      <c r="K1081" s="8"/>
      <c r="L1081" s="8"/>
      <c r="M1081" s="8"/>
      <c r="N1081" s="8"/>
      <c r="O1081" s="8"/>
      <c r="P1081" s="8"/>
    </row>
    <row r="1082" spans="1:16" ht="22.5" customHeight="1" x14ac:dyDescent="0.35">
      <c r="A1082" s="25"/>
      <c r="C1082" s="121"/>
      <c r="D1082" s="8"/>
      <c r="E1082" s="8"/>
      <c r="F1082" s="8"/>
      <c r="G1082" s="9"/>
      <c r="H1082" s="8"/>
      <c r="I1082" s="8"/>
      <c r="J1082" s="8"/>
      <c r="K1082" s="8"/>
      <c r="L1082" s="8"/>
      <c r="M1082" s="8"/>
      <c r="N1082" s="8"/>
      <c r="O1082" s="8"/>
      <c r="P1082" s="8"/>
    </row>
    <row r="1083" spans="1:16" ht="22.5" customHeight="1" x14ac:dyDescent="0.35">
      <c r="A1083" s="25"/>
      <c r="C1083" s="121"/>
      <c r="D1083" s="8"/>
      <c r="E1083" s="8"/>
      <c r="F1083" s="8"/>
      <c r="G1083" s="9"/>
      <c r="H1083" s="8"/>
      <c r="I1083" s="8"/>
      <c r="J1083" s="8"/>
      <c r="K1083" s="8"/>
      <c r="L1083" s="8"/>
      <c r="M1083" s="8"/>
      <c r="N1083" s="8"/>
      <c r="O1083" s="8"/>
      <c r="P1083" s="8"/>
    </row>
    <row r="1084" spans="1:16" ht="22.5" customHeight="1" x14ac:dyDescent="0.35">
      <c r="A1084" s="25"/>
      <c r="C1084" s="121"/>
      <c r="D1084" s="8"/>
      <c r="E1084" s="8"/>
      <c r="F1084" s="8"/>
      <c r="G1084" s="9"/>
      <c r="H1084" s="8"/>
      <c r="I1084" s="8"/>
      <c r="J1084" s="8"/>
      <c r="K1084" s="8"/>
      <c r="L1084" s="8"/>
      <c r="M1084" s="8"/>
      <c r="N1084" s="8"/>
      <c r="O1084" s="8"/>
      <c r="P1084" s="8"/>
    </row>
    <row r="1085" spans="1:16" ht="22.5" customHeight="1" x14ac:dyDescent="0.35">
      <c r="A1085" s="25"/>
      <c r="C1085" s="121"/>
      <c r="D1085" s="8"/>
      <c r="E1085" s="8"/>
      <c r="F1085" s="8"/>
      <c r="G1085" s="9"/>
      <c r="H1085" s="8"/>
      <c r="I1085" s="8"/>
      <c r="J1085" s="8"/>
      <c r="K1085" s="8"/>
      <c r="L1085" s="8"/>
      <c r="M1085" s="8"/>
      <c r="N1085" s="8"/>
      <c r="O1085" s="8"/>
      <c r="P1085" s="8"/>
    </row>
    <row r="1086" spans="1:16" ht="22.5" customHeight="1" x14ac:dyDescent="0.35">
      <c r="A1086" s="25"/>
      <c r="C1086" s="121"/>
      <c r="D1086" s="8"/>
      <c r="E1086" s="8"/>
      <c r="F1086" s="8"/>
      <c r="G1086" s="9"/>
      <c r="H1086" s="8"/>
      <c r="I1086" s="8"/>
      <c r="J1086" s="8"/>
      <c r="K1086" s="8"/>
      <c r="L1086" s="8"/>
      <c r="M1086" s="8"/>
      <c r="N1086" s="8"/>
      <c r="O1086" s="8"/>
      <c r="P1086" s="8"/>
    </row>
    <row r="1087" spans="1:16" ht="22.5" customHeight="1" x14ac:dyDescent="0.35">
      <c r="A1087" s="25"/>
      <c r="C1087" s="121"/>
      <c r="D1087" s="8"/>
      <c r="E1087" s="8"/>
      <c r="F1087" s="8"/>
      <c r="G1087" s="9"/>
      <c r="H1087" s="8"/>
      <c r="I1087" s="8"/>
      <c r="J1087" s="8"/>
      <c r="K1087" s="8"/>
      <c r="L1087" s="8"/>
      <c r="M1087" s="8"/>
      <c r="N1087" s="8"/>
      <c r="O1087" s="8"/>
      <c r="P1087" s="8"/>
    </row>
    <row r="1088" spans="1:16" ht="22.5" customHeight="1" x14ac:dyDescent="0.35">
      <c r="A1088" s="25"/>
      <c r="C1088" s="121"/>
      <c r="D1088" s="8"/>
      <c r="E1088" s="8"/>
      <c r="F1088" s="8"/>
      <c r="G1088" s="9"/>
      <c r="H1088" s="8"/>
      <c r="I1088" s="8"/>
      <c r="J1088" s="8"/>
      <c r="K1088" s="8"/>
      <c r="L1088" s="8"/>
      <c r="M1088" s="8"/>
      <c r="N1088" s="8"/>
      <c r="O1088" s="8"/>
      <c r="P1088" s="8"/>
    </row>
    <row r="1089" spans="1:16" ht="22.5" customHeight="1" x14ac:dyDescent="0.35">
      <c r="A1089" s="25"/>
      <c r="C1089" s="121"/>
      <c r="D1089" s="8"/>
      <c r="E1089" s="8"/>
      <c r="F1089" s="8"/>
      <c r="G1089" s="9"/>
      <c r="H1089" s="8"/>
      <c r="I1089" s="8"/>
      <c r="J1089" s="8"/>
      <c r="K1089" s="8"/>
      <c r="L1089" s="8"/>
      <c r="M1089" s="8"/>
      <c r="N1089" s="8"/>
      <c r="O1089" s="8"/>
      <c r="P1089" s="8"/>
    </row>
    <row r="1090" spans="1:16" ht="22.5" customHeight="1" x14ac:dyDescent="0.35">
      <c r="A1090" s="25"/>
      <c r="C1090" s="121"/>
      <c r="D1090" s="8"/>
      <c r="E1090" s="8"/>
      <c r="F1090" s="8"/>
      <c r="G1090" s="9"/>
      <c r="H1090" s="8"/>
      <c r="I1090" s="8"/>
      <c r="J1090" s="8"/>
      <c r="K1090" s="8"/>
      <c r="L1090" s="8"/>
      <c r="M1090" s="8"/>
      <c r="N1090" s="8"/>
      <c r="O1090" s="8"/>
      <c r="P1090" s="8"/>
    </row>
    <row r="1091" spans="1:16" ht="22.5" customHeight="1" x14ac:dyDescent="0.35">
      <c r="A1091" s="25"/>
      <c r="C1091" s="121"/>
      <c r="D1091" s="8"/>
      <c r="E1091" s="8"/>
      <c r="F1091" s="8"/>
      <c r="G1091" s="9"/>
      <c r="H1091" s="8"/>
      <c r="I1091" s="8"/>
      <c r="J1091" s="8"/>
      <c r="K1091" s="8"/>
      <c r="L1091" s="8"/>
      <c r="M1091" s="8"/>
      <c r="N1091" s="8"/>
      <c r="O1091" s="8"/>
      <c r="P1091" s="8"/>
    </row>
    <row r="1092" spans="1:16" ht="22.5" customHeight="1" x14ac:dyDescent="0.35">
      <c r="A1092" s="25"/>
      <c r="C1092" s="121"/>
      <c r="D1092" s="8"/>
      <c r="E1092" s="8"/>
      <c r="F1092" s="8"/>
      <c r="G1092" s="9"/>
      <c r="H1092" s="8"/>
      <c r="I1092" s="8"/>
      <c r="J1092" s="8"/>
      <c r="K1092" s="8"/>
      <c r="L1092" s="8"/>
      <c r="M1092" s="8"/>
      <c r="N1092" s="8"/>
      <c r="O1092" s="8"/>
      <c r="P1092" s="8"/>
    </row>
    <row r="1093" spans="1:16" ht="22.5" customHeight="1" x14ac:dyDescent="0.35">
      <c r="A1093" s="25"/>
      <c r="C1093" s="121"/>
      <c r="D1093" s="8"/>
      <c r="E1093" s="8"/>
      <c r="F1093" s="8"/>
      <c r="G1093" s="9"/>
      <c r="H1093" s="8"/>
      <c r="I1093" s="8"/>
      <c r="J1093" s="8"/>
      <c r="K1093" s="8"/>
      <c r="L1093" s="8"/>
      <c r="M1093" s="8"/>
      <c r="N1093" s="8"/>
      <c r="O1093" s="8"/>
      <c r="P1093" s="8"/>
    </row>
    <row r="1094" spans="1:16" ht="22.5" customHeight="1" x14ac:dyDescent="0.35">
      <c r="A1094" s="25"/>
      <c r="C1094" s="121"/>
      <c r="D1094" s="8"/>
      <c r="E1094" s="8"/>
      <c r="F1094" s="8"/>
      <c r="G1094" s="9"/>
      <c r="H1094" s="8"/>
      <c r="I1094" s="8"/>
      <c r="J1094" s="8"/>
      <c r="K1094" s="8"/>
      <c r="L1094" s="8"/>
      <c r="M1094" s="8"/>
      <c r="N1094" s="8"/>
      <c r="O1094" s="8"/>
      <c r="P1094" s="8"/>
    </row>
    <row r="1095" spans="1:16" ht="22.5" customHeight="1" x14ac:dyDescent="0.35">
      <c r="A1095" s="25"/>
      <c r="C1095" s="121"/>
      <c r="D1095" s="8"/>
      <c r="E1095" s="8"/>
      <c r="F1095" s="8"/>
      <c r="G1095" s="9"/>
      <c r="H1095" s="8"/>
      <c r="I1095" s="8"/>
      <c r="J1095" s="8"/>
      <c r="K1095" s="8"/>
      <c r="L1095" s="8"/>
      <c r="M1095" s="8"/>
      <c r="N1095" s="8"/>
      <c r="O1095" s="8"/>
      <c r="P1095" s="8"/>
    </row>
    <row r="1096" spans="1:16" ht="22.5" customHeight="1" x14ac:dyDescent="0.35">
      <c r="A1096" s="25"/>
      <c r="C1096" s="121"/>
      <c r="D1096" s="8"/>
      <c r="E1096" s="8"/>
      <c r="F1096" s="8"/>
      <c r="G1096" s="9"/>
      <c r="H1096" s="8"/>
      <c r="I1096" s="8"/>
      <c r="J1096" s="8"/>
      <c r="K1096" s="8"/>
      <c r="L1096" s="8"/>
      <c r="M1096" s="8"/>
      <c r="N1096" s="8"/>
      <c r="O1096" s="8"/>
      <c r="P1096" s="8"/>
    </row>
    <row r="1097" spans="1:16" ht="22.5" customHeight="1" x14ac:dyDescent="0.35">
      <c r="A1097" s="25"/>
      <c r="C1097" s="121"/>
      <c r="D1097" s="8"/>
      <c r="E1097" s="8"/>
      <c r="F1097" s="8"/>
      <c r="G1097" s="9"/>
      <c r="H1097" s="8"/>
      <c r="I1097" s="8"/>
      <c r="J1097" s="8"/>
      <c r="K1097" s="8"/>
      <c r="L1097" s="8"/>
      <c r="M1097" s="8"/>
      <c r="N1097" s="8"/>
      <c r="O1097" s="8"/>
      <c r="P1097" s="8"/>
    </row>
    <row r="1098" spans="1:16" ht="22.5" customHeight="1" x14ac:dyDescent="0.35">
      <c r="A1098" s="25"/>
      <c r="C1098" s="121"/>
      <c r="D1098" s="8"/>
      <c r="E1098" s="8"/>
      <c r="F1098" s="8"/>
      <c r="G1098" s="9"/>
      <c r="H1098" s="8"/>
      <c r="I1098" s="8"/>
      <c r="J1098" s="8"/>
      <c r="K1098" s="8"/>
      <c r="L1098" s="8"/>
      <c r="M1098" s="8"/>
      <c r="N1098" s="8"/>
      <c r="O1098" s="8"/>
      <c r="P1098" s="8"/>
    </row>
    <row r="1099" spans="1:16" ht="22.5" customHeight="1" x14ac:dyDescent="0.35">
      <c r="A1099" s="25"/>
      <c r="C1099" s="121"/>
      <c r="D1099" s="8"/>
      <c r="E1099" s="8"/>
      <c r="F1099" s="8"/>
      <c r="G1099" s="9"/>
      <c r="H1099" s="8"/>
      <c r="I1099" s="8"/>
      <c r="J1099" s="8"/>
      <c r="K1099" s="8"/>
      <c r="L1099" s="8"/>
      <c r="M1099" s="8"/>
      <c r="N1099" s="8"/>
      <c r="O1099" s="8"/>
      <c r="P1099" s="8"/>
    </row>
    <row r="1100" spans="1:16" ht="22.5" customHeight="1" x14ac:dyDescent="0.35">
      <c r="A1100" s="25"/>
      <c r="C1100" s="121"/>
      <c r="D1100" s="8"/>
      <c r="E1100" s="8"/>
      <c r="F1100" s="8"/>
      <c r="G1100" s="9"/>
      <c r="H1100" s="8"/>
      <c r="I1100" s="8"/>
      <c r="J1100" s="8"/>
      <c r="K1100" s="8"/>
      <c r="L1100" s="8"/>
      <c r="M1100" s="8"/>
      <c r="N1100" s="8"/>
      <c r="O1100" s="8"/>
      <c r="P1100" s="8"/>
    </row>
    <row r="1101" spans="1:16" ht="22.5" customHeight="1" x14ac:dyDescent="0.35">
      <c r="A1101" s="25"/>
      <c r="C1101" s="121"/>
      <c r="D1101" s="8"/>
      <c r="E1101" s="8"/>
      <c r="F1101" s="8"/>
      <c r="G1101" s="9"/>
      <c r="H1101" s="8"/>
      <c r="I1101" s="8"/>
      <c r="J1101" s="8"/>
      <c r="K1101" s="8"/>
      <c r="L1101" s="8"/>
      <c r="M1101" s="8"/>
      <c r="N1101" s="8"/>
      <c r="O1101" s="8"/>
      <c r="P1101" s="8"/>
    </row>
    <row r="1102" spans="1:16" ht="22.5" customHeight="1" x14ac:dyDescent="0.35">
      <c r="A1102" s="25"/>
      <c r="C1102" s="121"/>
      <c r="D1102" s="8"/>
      <c r="E1102" s="8"/>
      <c r="F1102" s="8"/>
      <c r="G1102" s="9"/>
      <c r="H1102" s="8"/>
      <c r="I1102" s="8"/>
      <c r="J1102" s="8"/>
      <c r="K1102" s="8"/>
      <c r="L1102" s="8"/>
      <c r="M1102" s="8"/>
      <c r="N1102" s="8"/>
      <c r="O1102" s="8"/>
      <c r="P1102" s="8"/>
    </row>
    <row r="1103" spans="1:16" ht="22.5" customHeight="1" x14ac:dyDescent="0.35">
      <c r="A1103" s="25"/>
      <c r="C1103" s="121"/>
      <c r="D1103" s="8"/>
      <c r="E1103" s="8"/>
      <c r="F1103" s="8"/>
      <c r="G1103" s="9"/>
      <c r="H1103" s="8"/>
      <c r="I1103" s="8"/>
      <c r="J1103" s="8"/>
      <c r="K1103" s="8"/>
      <c r="L1103" s="8"/>
      <c r="M1103" s="8"/>
      <c r="N1103" s="8"/>
      <c r="O1103" s="8"/>
      <c r="P1103" s="8"/>
    </row>
    <row r="1104" spans="1:16" ht="22.5" customHeight="1" x14ac:dyDescent="0.35">
      <c r="A1104" s="25"/>
      <c r="C1104" s="121"/>
      <c r="D1104" s="8"/>
      <c r="E1104" s="8"/>
      <c r="F1104" s="8"/>
      <c r="G1104" s="9"/>
      <c r="H1104" s="8"/>
      <c r="I1104" s="8"/>
      <c r="J1104" s="8"/>
      <c r="K1104" s="8"/>
      <c r="L1104" s="8"/>
      <c r="M1104" s="8"/>
      <c r="N1104" s="8"/>
      <c r="O1104" s="8"/>
      <c r="P1104" s="8"/>
    </row>
    <row r="1105" spans="1:16" ht="22.5" customHeight="1" x14ac:dyDescent="0.35">
      <c r="A1105" s="25"/>
      <c r="C1105" s="121"/>
      <c r="D1105" s="8"/>
      <c r="E1105" s="8"/>
      <c r="F1105" s="8"/>
      <c r="G1105" s="9"/>
      <c r="H1105" s="8"/>
      <c r="I1105" s="8"/>
      <c r="J1105" s="8"/>
      <c r="K1105" s="8"/>
      <c r="L1105" s="8"/>
      <c r="M1105" s="8"/>
      <c r="N1105" s="8"/>
      <c r="O1105" s="8"/>
      <c r="P1105" s="8"/>
    </row>
    <row r="1106" spans="1:16" ht="22.5" customHeight="1" x14ac:dyDescent="0.35">
      <c r="A1106" s="25"/>
      <c r="C1106" s="121"/>
      <c r="D1106" s="8"/>
      <c r="E1106" s="8"/>
      <c r="F1106" s="8"/>
      <c r="G1106" s="9"/>
      <c r="H1106" s="8"/>
      <c r="I1106" s="8"/>
      <c r="J1106" s="8"/>
      <c r="K1106" s="8"/>
      <c r="L1106" s="8"/>
      <c r="M1106" s="8"/>
      <c r="N1106" s="8"/>
      <c r="O1106" s="8"/>
      <c r="P1106" s="8"/>
    </row>
    <row r="1107" spans="1:16" ht="22.5" customHeight="1" x14ac:dyDescent="0.35">
      <c r="A1107" s="25"/>
      <c r="C1107" s="121"/>
      <c r="D1107" s="8"/>
      <c r="E1107" s="8"/>
      <c r="F1107" s="8"/>
      <c r="G1107" s="9"/>
      <c r="H1107" s="8"/>
      <c r="I1107" s="8"/>
      <c r="J1107" s="8"/>
      <c r="K1107" s="8"/>
      <c r="L1107" s="8"/>
      <c r="M1107" s="8"/>
      <c r="N1107" s="8"/>
      <c r="O1107" s="8"/>
      <c r="P1107" s="8"/>
    </row>
    <row r="1108" spans="1:16" ht="22.5" customHeight="1" x14ac:dyDescent="0.35">
      <c r="A1108" s="25"/>
      <c r="C1108" s="121"/>
      <c r="D1108" s="8"/>
      <c r="E1108" s="8"/>
      <c r="F1108" s="8"/>
      <c r="G1108" s="9"/>
      <c r="H1108" s="8"/>
      <c r="I1108" s="8"/>
      <c r="J1108" s="8"/>
      <c r="K1108" s="8"/>
      <c r="L1108" s="8"/>
      <c r="M1108" s="8"/>
      <c r="N1108" s="8"/>
      <c r="O1108" s="8"/>
      <c r="P1108" s="8"/>
    </row>
    <row r="1109" spans="1:16" ht="22.5" customHeight="1" x14ac:dyDescent="0.35">
      <c r="A1109" s="25"/>
      <c r="C1109" s="121"/>
      <c r="D1109" s="8"/>
      <c r="E1109" s="8"/>
      <c r="F1109" s="8"/>
      <c r="G1109" s="9"/>
      <c r="H1109" s="8"/>
      <c r="I1109" s="8"/>
      <c r="J1109" s="8"/>
      <c r="K1109" s="8"/>
      <c r="L1109" s="8"/>
      <c r="M1109" s="8"/>
      <c r="N1109" s="8"/>
      <c r="O1109" s="8"/>
      <c r="P1109" s="8"/>
    </row>
    <row r="1110" spans="1:16" ht="22.5" customHeight="1" x14ac:dyDescent="0.35">
      <c r="A1110" s="25"/>
      <c r="C1110" s="121"/>
      <c r="D1110" s="8"/>
      <c r="E1110" s="8"/>
      <c r="F1110" s="8"/>
      <c r="G1110" s="9"/>
      <c r="H1110" s="8"/>
      <c r="I1110" s="8"/>
      <c r="J1110" s="8"/>
      <c r="K1110" s="8"/>
      <c r="L1110" s="8"/>
      <c r="M1110" s="8"/>
      <c r="N1110" s="8"/>
      <c r="O1110" s="8"/>
      <c r="P1110" s="8"/>
    </row>
    <row r="1111" spans="1:16" ht="22.5" customHeight="1" x14ac:dyDescent="0.35">
      <c r="A1111" s="25"/>
      <c r="C1111" s="121"/>
      <c r="D1111" s="8"/>
      <c r="E1111" s="8"/>
      <c r="F1111" s="8"/>
      <c r="G1111" s="9"/>
      <c r="H1111" s="8"/>
      <c r="I1111" s="8"/>
      <c r="J1111" s="8"/>
      <c r="K1111" s="8"/>
      <c r="L1111" s="8"/>
      <c r="M1111" s="8"/>
      <c r="N1111" s="8"/>
      <c r="O1111" s="8"/>
      <c r="P1111" s="8"/>
    </row>
    <row r="1112" spans="1:16" ht="22.5" customHeight="1" x14ac:dyDescent="0.35">
      <c r="A1112" s="25"/>
      <c r="C1112" s="121"/>
      <c r="D1112" s="8"/>
      <c r="E1112" s="8"/>
      <c r="F1112" s="8"/>
      <c r="G1112" s="9"/>
      <c r="H1112" s="8"/>
      <c r="I1112" s="8"/>
      <c r="J1112" s="8"/>
      <c r="K1112" s="8"/>
      <c r="L1112" s="8"/>
      <c r="M1112" s="8"/>
      <c r="N1112" s="8"/>
      <c r="O1112" s="8"/>
      <c r="P1112" s="8"/>
    </row>
    <row r="1113" spans="1:16" ht="22.5" customHeight="1" x14ac:dyDescent="0.35">
      <c r="A1113" s="25"/>
      <c r="C1113" s="121"/>
      <c r="D1113" s="8"/>
      <c r="E1113" s="8"/>
      <c r="F1113" s="8"/>
      <c r="G1113" s="9"/>
      <c r="H1113" s="8"/>
      <c r="I1113" s="8"/>
      <c r="J1113" s="8"/>
      <c r="K1113" s="8"/>
      <c r="L1113" s="8"/>
      <c r="M1113" s="8"/>
      <c r="N1113" s="8"/>
      <c r="O1113" s="8"/>
      <c r="P1113" s="8"/>
    </row>
    <row r="1114" spans="1:16" ht="22.5" customHeight="1" x14ac:dyDescent="0.35">
      <c r="A1114" s="25"/>
      <c r="C1114" s="121"/>
      <c r="D1114" s="8"/>
      <c r="E1114" s="8"/>
      <c r="F1114" s="8"/>
      <c r="G1114" s="9"/>
      <c r="H1114" s="8"/>
      <c r="I1114" s="8"/>
      <c r="J1114" s="8"/>
      <c r="K1114" s="8"/>
      <c r="L1114" s="8"/>
      <c r="M1114" s="8"/>
      <c r="N1114" s="8"/>
      <c r="O1114" s="8"/>
      <c r="P1114" s="8"/>
    </row>
    <row r="1115" spans="1:16" ht="22.5" customHeight="1" x14ac:dyDescent="0.35">
      <c r="A1115" s="25"/>
      <c r="C1115" s="121"/>
      <c r="D1115" s="8"/>
      <c r="E1115" s="8"/>
      <c r="F1115" s="8"/>
      <c r="G1115" s="9"/>
      <c r="H1115" s="8"/>
      <c r="I1115" s="8"/>
      <c r="J1115" s="8"/>
      <c r="K1115" s="8"/>
      <c r="L1115" s="8"/>
      <c r="M1115" s="8"/>
      <c r="N1115" s="8"/>
      <c r="O1115" s="8"/>
      <c r="P1115" s="8"/>
    </row>
    <row r="1116" spans="1:16" ht="22.5" customHeight="1" x14ac:dyDescent="0.35">
      <c r="A1116" s="25"/>
      <c r="C1116" s="121"/>
      <c r="D1116" s="8"/>
      <c r="E1116" s="8"/>
      <c r="F1116" s="8"/>
      <c r="G1116" s="9"/>
      <c r="H1116" s="8"/>
      <c r="I1116" s="8"/>
      <c r="J1116" s="8"/>
      <c r="K1116" s="8"/>
      <c r="L1116" s="8"/>
      <c r="M1116" s="8"/>
      <c r="N1116" s="8"/>
      <c r="O1116" s="8"/>
      <c r="P1116" s="8"/>
    </row>
    <row r="1117" spans="1:16" ht="22.5" customHeight="1" x14ac:dyDescent="0.35">
      <c r="A1117" s="25"/>
      <c r="C1117" s="121"/>
      <c r="D1117" s="8"/>
      <c r="E1117" s="8"/>
      <c r="F1117" s="8"/>
      <c r="G1117" s="9"/>
      <c r="H1117" s="8"/>
      <c r="I1117" s="8"/>
      <c r="J1117" s="8"/>
      <c r="K1117" s="8"/>
      <c r="L1117" s="8"/>
      <c r="M1117" s="8"/>
      <c r="N1117" s="8"/>
      <c r="O1117" s="8"/>
      <c r="P1117" s="8"/>
    </row>
    <row r="1118" spans="1:16" ht="22.5" customHeight="1" x14ac:dyDescent="0.35">
      <c r="A1118" s="25"/>
      <c r="C1118" s="121"/>
      <c r="D1118" s="8"/>
      <c r="E1118" s="8"/>
      <c r="F1118" s="8"/>
      <c r="G1118" s="9"/>
      <c r="H1118" s="8"/>
      <c r="I1118" s="8"/>
      <c r="J1118" s="8"/>
      <c r="K1118" s="8"/>
      <c r="L1118" s="8"/>
      <c r="M1118" s="8"/>
      <c r="N1118" s="8"/>
      <c r="O1118" s="8"/>
      <c r="P1118" s="8"/>
    </row>
    <row r="1119" spans="1:16" ht="22.5" customHeight="1" x14ac:dyDescent="0.35">
      <c r="A1119" s="25"/>
      <c r="C1119" s="121"/>
      <c r="D1119" s="8"/>
      <c r="E1119" s="8"/>
      <c r="F1119" s="8"/>
      <c r="G1119" s="9"/>
      <c r="H1119" s="8"/>
      <c r="I1119" s="8"/>
      <c r="J1119" s="8"/>
      <c r="K1119" s="8"/>
      <c r="L1119" s="8"/>
      <c r="M1119" s="8"/>
      <c r="N1119" s="8"/>
      <c r="O1119" s="8"/>
      <c r="P1119" s="8"/>
    </row>
    <row r="1120" spans="1:16" ht="22.5" customHeight="1" x14ac:dyDescent="0.35">
      <c r="A1120" s="25"/>
      <c r="C1120" s="121"/>
      <c r="D1120" s="8"/>
      <c r="E1120" s="8"/>
      <c r="F1120" s="8"/>
      <c r="G1120" s="9"/>
      <c r="H1120" s="8"/>
      <c r="I1120" s="8"/>
      <c r="J1120" s="8"/>
      <c r="K1120" s="8"/>
      <c r="L1120" s="8"/>
      <c r="M1120" s="8"/>
      <c r="N1120" s="8"/>
      <c r="O1120" s="8"/>
      <c r="P1120" s="8"/>
    </row>
    <row r="1121" spans="1:16" ht="22.5" customHeight="1" x14ac:dyDescent="0.35">
      <c r="A1121" s="25"/>
      <c r="C1121" s="121"/>
      <c r="D1121" s="8"/>
      <c r="E1121" s="8"/>
      <c r="F1121" s="8"/>
      <c r="G1121" s="9"/>
      <c r="H1121" s="8"/>
      <c r="I1121" s="8"/>
      <c r="J1121" s="8"/>
      <c r="K1121" s="8"/>
      <c r="L1121" s="8"/>
      <c r="M1121" s="8"/>
      <c r="N1121" s="8"/>
      <c r="O1121" s="8"/>
      <c r="P1121" s="8"/>
    </row>
    <row r="1122" spans="1:16" ht="22.5" customHeight="1" x14ac:dyDescent="0.35">
      <c r="A1122" s="25"/>
      <c r="C1122" s="121"/>
      <c r="D1122" s="8"/>
      <c r="E1122" s="8"/>
      <c r="F1122" s="8"/>
      <c r="G1122" s="9"/>
      <c r="H1122" s="8"/>
      <c r="I1122" s="8"/>
      <c r="J1122" s="8"/>
      <c r="K1122" s="8"/>
      <c r="L1122" s="8"/>
      <c r="M1122" s="8"/>
      <c r="N1122" s="8"/>
      <c r="O1122" s="8"/>
      <c r="P1122" s="8"/>
    </row>
    <row r="1123" spans="1:16" ht="22.5" customHeight="1" x14ac:dyDescent="0.35">
      <c r="A1123" s="25"/>
      <c r="C1123" s="121"/>
      <c r="D1123" s="8"/>
      <c r="E1123" s="8"/>
      <c r="F1123" s="8"/>
      <c r="G1123" s="9"/>
      <c r="H1123" s="8"/>
      <c r="I1123" s="8"/>
      <c r="J1123" s="8"/>
      <c r="K1123" s="8"/>
      <c r="L1123" s="8"/>
      <c r="M1123" s="8"/>
      <c r="N1123" s="8"/>
      <c r="O1123" s="8"/>
      <c r="P1123" s="8"/>
    </row>
    <row r="1124" spans="1:16" ht="22.5" customHeight="1" x14ac:dyDescent="0.35">
      <c r="A1124" s="25"/>
      <c r="C1124" s="121"/>
      <c r="D1124" s="8"/>
      <c r="E1124" s="8"/>
      <c r="F1124" s="8"/>
      <c r="G1124" s="9"/>
      <c r="H1124" s="8"/>
      <c r="I1124" s="8"/>
      <c r="J1124" s="8"/>
      <c r="K1124" s="8"/>
      <c r="L1124" s="8"/>
      <c r="M1124" s="8"/>
      <c r="N1124" s="8"/>
      <c r="O1124" s="8"/>
      <c r="P1124" s="8"/>
    </row>
    <row r="1125" spans="1:16" ht="22.5" customHeight="1" x14ac:dyDescent="0.35">
      <c r="A1125" s="25"/>
      <c r="C1125" s="121"/>
      <c r="D1125" s="8"/>
      <c r="E1125" s="8"/>
      <c r="F1125" s="8"/>
      <c r="G1125" s="9"/>
      <c r="H1125" s="8"/>
      <c r="I1125" s="8"/>
      <c r="J1125" s="8"/>
      <c r="K1125" s="8"/>
      <c r="L1125" s="8"/>
      <c r="M1125" s="8"/>
      <c r="N1125" s="8"/>
      <c r="O1125" s="8"/>
      <c r="P1125" s="8"/>
    </row>
    <row r="1126" spans="1:16" ht="22.5" customHeight="1" x14ac:dyDescent="0.35">
      <c r="A1126" s="25"/>
      <c r="C1126" s="121"/>
      <c r="D1126" s="8"/>
      <c r="E1126" s="8"/>
      <c r="F1126" s="8"/>
      <c r="G1126" s="9"/>
      <c r="H1126" s="8"/>
      <c r="I1126" s="8"/>
      <c r="J1126" s="8"/>
      <c r="K1126" s="8"/>
      <c r="L1126" s="8"/>
      <c r="M1126" s="8"/>
      <c r="N1126" s="8"/>
      <c r="O1126" s="8"/>
      <c r="P1126" s="8"/>
    </row>
    <row r="1127" spans="1:16" ht="22.5" customHeight="1" x14ac:dyDescent="0.35">
      <c r="A1127" s="25"/>
      <c r="C1127" s="121"/>
      <c r="D1127" s="8"/>
      <c r="E1127" s="8"/>
      <c r="F1127" s="8"/>
      <c r="G1127" s="9"/>
      <c r="H1127" s="8"/>
      <c r="I1127" s="8"/>
      <c r="J1127" s="8"/>
      <c r="K1127" s="8"/>
      <c r="L1127" s="8"/>
      <c r="M1127" s="8"/>
      <c r="N1127" s="8"/>
      <c r="O1127" s="8"/>
      <c r="P1127" s="8"/>
    </row>
    <row r="1128" spans="1:16" ht="22.5" customHeight="1" x14ac:dyDescent="0.35">
      <c r="A1128" s="25"/>
      <c r="C1128" s="121"/>
      <c r="D1128" s="8"/>
      <c r="E1128" s="8"/>
      <c r="F1128" s="8"/>
      <c r="G1128" s="9"/>
      <c r="H1128" s="8"/>
      <c r="I1128" s="8"/>
      <c r="J1128" s="8"/>
      <c r="K1128" s="8"/>
      <c r="L1128" s="8"/>
      <c r="M1128" s="8"/>
      <c r="N1128" s="8"/>
      <c r="O1128" s="8"/>
      <c r="P1128" s="8"/>
    </row>
    <row r="1129" spans="1:16" ht="22.5" customHeight="1" x14ac:dyDescent="0.35">
      <c r="A1129" s="25"/>
      <c r="C1129" s="121"/>
      <c r="D1129" s="8"/>
      <c r="E1129" s="8"/>
      <c r="F1129" s="8"/>
      <c r="G1129" s="9"/>
      <c r="H1129" s="8"/>
      <c r="I1129" s="8"/>
      <c r="J1129" s="8"/>
      <c r="K1129" s="8"/>
      <c r="L1129" s="8"/>
      <c r="M1129" s="8"/>
      <c r="N1129" s="8"/>
      <c r="O1129" s="8"/>
      <c r="P1129" s="8"/>
    </row>
    <row r="1130" spans="1:16" ht="22.5" customHeight="1" x14ac:dyDescent="0.35">
      <c r="A1130" s="25"/>
      <c r="C1130" s="121"/>
      <c r="D1130" s="8"/>
      <c r="E1130" s="8"/>
      <c r="F1130" s="8"/>
      <c r="G1130" s="9"/>
      <c r="H1130" s="8"/>
      <c r="I1130" s="8"/>
      <c r="J1130" s="8"/>
      <c r="K1130" s="8"/>
      <c r="L1130" s="8"/>
      <c r="M1130" s="8"/>
      <c r="N1130" s="8"/>
      <c r="O1130" s="8"/>
      <c r="P1130" s="8"/>
    </row>
    <row r="1131" spans="1:16" ht="22.5" customHeight="1" x14ac:dyDescent="0.35">
      <c r="A1131" s="25"/>
      <c r="C1131" s="121"/>
      <c r="D1131" s="8"/>
      <c r="E1131" s="8"/>
      <c r="F1131" s="8"/>
      <c r="G1131" s="9"/>
      <c r="H1131" s="8"/>
      <c r="I1131" s="8"/>
      <c r="J1131" s="8"/>
      <c r="K1131" s="8"/>
      <c r="L1131" s="8"/>
      <c r="M1131" s="8"/>
      <c r="N1131" s="8"/>
      <c r="O1131" s="8"/>
      <c r="P1131" s="8"/>
    </row>
    <row r="1132" spans="1:16" ht="22.5" customHeight="1" x14ac:dyDescent="0.35">
      <c r="A1132" s="25"/>
      <c r="C1132" s="121"/>
      <c r="D1132" s="8"/>
      <c r="E1132" s="8"/>
      <c r="F1132" s="8"/>
      <c r="G1132" s="9"/>
      <c r="H1132" s="8"/>
      <c r="I1132" s="8"/>
      <c r="J1132" s="8"/>
      <c r="K1132" s="8"/>
      <c r="L1132" s="8"/>
      <c r="M1132" s="8"/>
      <c r="N1132" s="8"/>
      <c r="O1132" s="8"/>
      <c r="P1132" s="8"/>
    </row>
    <row r="1133" spans="1:16" ht="22.5" customHeight="1" x14ac:dyDescent="0.35">
      <c r="A1133" s="25"/>
      <c r="C1133" s="121"/>
      <c r="D1133" s="8"/>
      <c r="E1133" s="8"/>
      <c r="F1133" s="8"/>
      <c r="G1133" s="9"/>
      <c r="H1133" s="8"/>
      <c r="I1133" s="8"/>
      <c r="J1133" s="8"/>
      <c r="K1133" s="8"/>
      <c r="L1133" s="8"/>
      <c r="M1133" s="8"/>
      <c r="N1133" s="8"/>
      <c r="O1133" s="8"/>
      <c r="P1133" s="8"/>
    </row>
    <row r="1134" spans="1:16" ht="22.5" customHeight="1" x14ac:dyDescent="0.35">
      <c r="A1134" s="25"/>
      <c r="C1134" s="121"/>
      <c r="D1134" s="8"/>
      <c r="E1134" s="8"/>
      <c r="F1134" s="8"/>
      <c r="G1134" s="9"/>
      <c r="H1134" s="8"/>
      <c r="I1134" s="8"/>
      <c r="J1134" s="8"/>
      <c r="K1134" s="8"/>
      <c r="L1134" s="8"/>
      <c r="M1134" s="8"/>
      <c r="N1134" s="8"/>
      <c r="O1134" s="8"/>
      <c r="P1134" s="8"/>
    </row>
    <row r="1135" spans="1:16" ht="22.5" customHeight="1" x14ac:dyDescent="0.35">
      <c r="A1135" s="25"/>
      <c r="C1135" s="121"/>
      <c r="D1135" s="8"/>
      <c r="E1135" s="8"/>
      <c r="F1135" s="8"/>
      <c r="G1135" s="9"/>
      <c r="H1135" s="8"/>
      <c r="I1135" s="8"/>
      <c r="J1135" s="8"/>
      <c r="K1135" s="8"/>
      <c r="L1135" s="8"/>
      <c r="M1135" s="8"/>
      <c r="N1135" s="8"/>
      <c r="O1135" s="8"/>
      <c r="P1135" s="8"/>
    </row>
    <row r="1136" spans="1:16" ht="22.5" customHeight="1" x14ac:dyDescent="0.35">
      <c r="A1136" s="25"/>
      <c r="C1136" s="121"/>
      <c r="D1136" s="8"/>
      <c r="E1136" s="8"/>
      <c r="F1136" s="8"/>
      <c r="G1136" s="9"/>
      <c r="H1136" s="8"/>
      <c r="I1136" s="8"/>
      <c r="J1136" s="8"/>
      <c r="K1136" s="8"/>
      <c r="L1136" s="8"/>
      <c r="M1136" s="8"/>
      <c r="N1136" s="8"/>
      <c r="O1136" s="8"/>
      <c r="P1136" s="8"/>
    </row>
    <row r="1137" spans="1:16" ht="22.5" customHeight="1" x14ac:dyDescent="0.35">
      <c r="A1137" s="25"/>
      <c r="C1137" s="121"/>
      <c r="D1137" s="8"/>
      <c r="E1137" s="8"/>
      <c r="F1137" s="8"/>
      <c r="G1137" s="9"/>
      <c r="H1137" s="8"/>
      <c r="I1137" s="8"/>
      <c r="J1137" s="8"/>
      <c r="K1137" s="8"/>
      <c r="L1137" s="8"/>
      <c r="M1137" s="8"/>
      <c r="N1137" s="8"/>
      <c r="O1137" s="8"/>
      <c r="P1137" s="8"/>
    </row>
    <row r="1138" spans="1:16" ht="22.5" customHeight="1" x14ac:dyDescent="0.35">
      <c r="A1138" s="25"/>
      <c r="C1138" s="121"/>
      <c r="D1138" s="8"/>
      <c r="E1138" s="8"/>
      <c r="F1138" s="8"/>
      <c r="G1138" s="9"/>
      <c r="H1138" s="8"/>
      <c r="I1138" s="8"/>
      <c r="J1138" s="8"/>
      <c r="K1138" s="8"/>
      <c r="L1138" s="8"/>
      <c r="M1138" s="8"/>
      <c r="N1138" s="8"/>
      <c r="O1138" s="8"/>
      <c r="P1138" s="8"/>
    </row>
    <row r="1139" spans="1:16" ht="22.5" customHeight="1" x14ac:dyDescent="0.35">
      <c r="A1139" s="25"/>
      <c r="C1139" s="121"/>
      <c r="D1139" s="8"/>
      <c r="E1139" s="8"/>
      <c r="F1139" s="8"/>
      <c r="G1139" s="9"/>
      <c r="H1139" s="8"/>
      <c r="I1139" s="8"/>
      <c r="J1139" s="8"/>
      <c r="K1139" s="8"/>
      <c r="L1139" s="8"/>
      <c r="M1139" s="8"/>
      <c r="N1139" s="8"/>
      <c r="O1139" s="8"/>
      <c r="P1139" s="8"/>
    </row>
    <row r="1140" spans="1:16" ht="22.5" customHeight="1" x14ac:dyDescent="0.35">
      <c r="A1140" s="25"/>
      <c r="C1140" s="121"/>
      <c r="D1140" s="8"/>
      <c r="E1140" s="8"/>
      <c r="F1140" s="8"/>
      <c r="G1140" s="9"/>
      <c r="H1140" s="8"/>
      <c r="I1140" s="8"/>
      <c r="J1140" s="8"/>
      <c r="K1140" s="8"/>
      <c r="L1140" s="8"/>
      <c r="M1140" s="8"/>
      <c r="N1140" s="8"/>
      <c r="O1140" s="8"/>
      <c r="P1140" s="8"/>
    </row>
    <row r="1141" spans="1:16" ht="22.5" customHeight="1" x14ac:dyDescent="0.35">
      <c r="A1141" s="25"/>
      <c r="C1141" s="121"/>
      <c r="D1141" s="8"/>
      <c r="E1141" s="8"/>
      <c r="F1141" s="8"/>
      <c r="G1141" s="9"/>
      <c r="H1141" s="8"/>
      <c r="I1141" s="8"/>
      <c r="J1141" s="8"/>
      <c r="K1141" s="8"/>
      <c r="L1141" s="8"/>
      <c r="M1141" s="8"/>
      <c r="N1141" s="8"/>
      <c r="O1141" s="8"/>
      <c r="P1141" s="8"/>
    </row>
    <row r="1142" spans="1:16" ht="22.5" customHeight="1" x14ac:dyDescent="0.35">
      <c r="A1142" s="25"/>
      <c r="C1142" s="121"/>
      <c r="D1142" s="8"/>
      <c r="E1142" s="8"/>
      <c r="F1142" s="8"/>
      <c r="G1142" s="9"/>
      <c r="H1142" s="8"/>
      <c r="I1142" s="8"/>
      <c r="J1142" s="8"/>
      <c r="K1142" s="8"/>
      <c r="L1142" s="8"/>
      <c r="M1142" s="8"/>
      <c r="N1142" s="8"/>
      <c r="O1142" s="8"/>
      <c r="P1142" s="8"/>
    </row>
    <row r="1143" spans="1:16" ht="22.5" customHeight="1" x14ac:dyDescent="0.35">
      <c r="A1143" s="25"/>
      <c r="C1143" s="121"/>
      <c r="D1143" s="8"/>
      <c r="E1143" s="8"/>
      <c r="F1143" s="8"/>
      <c r="G1143" s="9"/>
      <c r="H1143" s="8"/>
      <c r="I1143" s="8"/>
      <c r="J1143" s="8"/>
      <c r="K1143" s="8"/>
      <c r="L1143" s="8"/>
      <c r="M1143" s="8"/>
      <c r="N1143" s="8"/>
      <c r="O1143" s="8"/>
      <c r="P1143" s="8"/>
    </row>
    <row r="1144" spans="1:16" ht="22.5" customHeight="1" x14ac:dyDescent="0.35">
      <c r="A1144" s="25"/>
      <c r="C1144" s="121"/>
      <c r="D1144" s="8"/>
      <c r="E1144" s="8"/>
      <c r="F1144" s="8"/>
      <c r="G1144" s="9"/>
      <c r="H1144" s="8"/>
      <c r="I1144" s="8"/>
      <c r="J1144" s="8"/>
      <c r="K1144" s="8"/>
      <c r="L1144" s="8"/>
      <c r="M1144" s="8"/>
      <c r="N1144" s="8"/>
      <c r="O1144" s="8"/>
      <c r="P1144" s="8"/>
    </row>
    <row r="1145" spans="1:16" ht="22.5" customHeight="1" x14ac:dyDescent="0.35">
      <c r="A1145" s="25"/>
      <c r="C1145" s="121"/>
      <c r="D1145" s="8"/>
      <c r="E1145" s="8"/>
      <c r="F1145" s="8"/>
      <c r="G1145" s="9"/>
      <c r="H1145" s="8"/>
      <c r="I1145" s="8"/>
      <c r="J1145" s="8"/>
      <c r="K1145" s="8"/>
      <c r="L1145" s="8"/>
      <c r="M1145" s="8"/>
      <c r="N1145" s="8"/>
      <c r="O1145" s="8"/>
      <c r="P1145" s="8"/>
    </row>
    <row r="1146" spans="1:16" ht="22.5" customHeight="1" x14ac:dyDescent="0.35">
      <c r="A1146" s="25"/>
      <c r="C1146" s="121"/>
      <c r="D1146" s="8"/>
      <c r="E1146" s="8"/>
      <c r="F1146" s="8"/>
      <c r="G1146" s="9"/>
      <c r="H1146" s="8"/>
      <c r="I1146" s="8"/>
      <c r="J1146" s="8"/>
      <c r="K1146" s="8"/>
      <c r="L1146" s="8"/>
      <c r="M1146" s="8"/>
      <c r="N1146" s="8"/>
      <c r="O1146" s="8"/>
      <c r="P1146" s="8"/>
    </row>
    <row r="1147" spans="1:16" ht="22.5" customHeight="1" x14ac:dyDescent="0.35">
      <c r="A1147" s="25"/>
      <c r="C1147" s="121"/>
      <c r="D1147" s="8"/>
      <c r="E1147" s="8"/>
      <c r="F1147" s="8"/>
      <c r="G1147" s="9"/>
      <c r="H1147" s="8"/>
      <c r="I1147" s="8"/>
      <c r="J1147" s="8"/>
      <c r="K1147" s="8"/>
      <c r="L1147" s="8"/>
      <c r="M1147" s="8"/>
      <c r="N1147" s="8"/>
      <c r="O1147" s="8"/>
      <c r="P1147" s="8"/>
    </row>
    <row r="1148" spans="1:16" ht="22.5" customHeight="1" x14ac:dyDescent="0.35">
      <c r="A1148" s="25"/>
      <c r="C1148" s="121"/>
      <c r="D1148" s="8"/>
      <c r="E1148" s="8"/>
      <c r="F1148" s="8"/>
      <c r="G1148" s="9"/>
      <c r="H1148" s="8"/>
      <c r="I1148" s="8"/>
      <c r="J1148" s="8"/>
      <c r="K1148" s="8"/>
      <c r="L1148" s="8"/>
      <c r="M1148" s="8"/>
      <c r="N1148" s="8"/>
      <c r="O1148" s="8"/>
      <c r="P1148" s="8"/>
    </row>
    <row r="1149" spans="1:16" ht="22.5" customHeight="1" x14ac:dyDescent="0.35">
      <c r="A1149" s="25"/>
      <c r="C1149" s="121"/>
      <c r="D1149" s="8"/>
      <c r="E1149" s="8"/>
      <c r="F1149" s="8"/>
      <c r="G1149" s="9"/>
      <c r="H1149" s="8"/>
      <c r="I1149" s="8"/>
      <c r="J1149" s="8"/>
      <c r="K1149" s="8"/>
      <c r="L1149" s="8"/>
      <c r="M1149" s="8"/>
      <c r="N1149" s="8"/>
      <c r="O1149" s="8"/>
      <c r="P1149" s="8"/>
    </row>
    <row r="1150" spans="1:16" ht="22.5" customHeight="1" x14ac:dyDescent="0.35">
      <c r="A1150" s="25"/>
      <c r="C1150" s="121"/>
      <c r="D1150" s="8"/>
      <c r="E1150" s="8"/>
      <c r="F1150" s="8"/>
      <c r="G1150" s="9"/>
      <c r="H1150" s="8"/>
      <c r="I1150" s="8"/>
      <c r="J1150" s="8"/>
      <c r="K1150" s="8"/>
      <c r="L1150" s="8"/>
      <c r="M1150" s="8"/>
      <c r="N1150" s="8"/>
      <c r="O1150" s="8"/>
      <c r="P1150" s="8"/>
    </row>
    <row r="1151" spans="1:16" ht="22.5" customHeight="1" x14ac:dyDescent="0.35">
      <c r="A1151" s="25"/>
      <c r="C1151" s="121"/>
      <c r="D1151" s="8"/>
      <c r="E1151" s="8"/>
      <c r="F1151" s="8"/>
      <c r="G1151" s="9"/>
      <c r="H1151" s="8"/>
      <c r="I1151" s="8"/>
      <c r="J1151" s="8"/>
      <c r="K1151" s="8"/>
      <c r="L1151" s="8"/>
      <c r="M1151" s="8"/>
      <c r="N1151" s="8"/>
      <c r="O1151" s="8"/>
      <c r="P1151" s="8"/>
    </row>
    <row r="1152" spans="1:16" ht="22.5" customHeight="1" x14ac:dyDescent="0.35">
      <c r="A1152" s="25"/>
      <c r="C1152" s="121"/>
      <c r="D1152" s="8"/>
      <c r="E1152" s="8"/>
      <c r="F1152" s="8"/>
      <c r="G1152" s="9"/>
      <c r="H1152" s="8"/>
      <c r="I1152" s="8"/>
      <c r="J1152" s="8"/>
      <c r="K1152" s="8"/>
      <c r="L1152" s="8"/>
      <c r="M1152" s="8"/>
      <c r="N1152" s="8"/>
      <c r="O1152" s="8"/>
      <c r="P1152" s="8"/>
    </row>
    <row r="1153" spans="1:16" ht="22.5" customHeight="1" x14ac:dyDescent="0.35">
      <c r="A1153" s="25"/>
      <c r="C1153" s="121"/>
      <c r="D1153" s="8"/>
      <c r="E1153" s="8"/>
      <c r="F1153" s="8"/>
      <c r="G1153" s="9"/>
      <c r="H1153" s="8"/>
      <c r="I1153" s="8"/>
      <c r="J1153" s="8"/>
      <c r="K1153" s="8"/>
      <c r="L1153" s="8"/>
      <c r="M1153" s="8"/>
      <c r="N1153" s="8"/>
      <c r="O1153" s="8"/>
      <c r="P1153" s="8"/>
    </row>
    <row r="1154" spans="1:16" ht="22.5" customHeight="1" x14ac:dyDescent="0.35">
      <c r="A1154" s="25"/>
      <c r="C1154" s="121"/>
      <c r="D1154" s="8"/>
      <c r="E1154" s="8"/>
      <c r="F1154" s="8"/>
      <c r="G1154" s="9"/>
      <c r="H1154" s="8"/>
      <c r="I1154" s="8"/>
      <c r="J1154" s="8"/>
      <c r="K1154" s="8"/>
      <c r="L1154" s="8"/>
      <c r="M1154" s="8"/>
      <c r="N1154" s="8"/>
      <c r="O1154" s="8"/>
      <c r="P1154" s="8"/>
    </row>
    <row r="1155" spans="1:16" ht="22.5" customHeight="1" x14ac:dyDescent="0.35">
      <c r="A1155" s="25"/>
      <c r="C1155" s="121"/>
      <c r="D1155" s="8"/>
      <c r="E1155" s="8"/>
      <c r="F1155" s="8"/>
      <c r="G1155" s="9"/>
      <c r="H1155" s="8"/>
      <c r="I1155" s="8"/>
      <c r="J1155" s="8"/>
      <c r="K1155" s="8"/>
      <c r="L1155" s="8"/>
      <c r="M1155" s="8"/>
      <c r="N1155" s="8"/>
      <c r="O1155" s="8"/>
      <c r="P1155" s="8"/>
    </row>
    <row r="1156" spans="1:16" ht="22.5" customHeight="1" x14ac:dyDescent="0.35">
      <c r="A1156" s="25"/>
      <c r="C1156" s="121"/>
      <c r="D1156" s="8"/>
      <c r="E1156" s="8"/>
      <c r="F1156" s="8"/>
      <c r="G1156" s="9"/>
      <c r="H1156" s="8"/>
      <c r="I1156" s="8"/>
      <c r="J1156" s="8"/>
      <c r="K1156" s="8"/>
      <c r="L1156" s="8"/>
      <c r="M1156" s="8"/>
      <c r="N1156" s="8"/>
      <c r="O1156" s="8"/>
      <c r="P1156" s="8"/>
    </row>
    <row r="1157" spans="1:16" ht="22.5" customHeight="1" x14ac:dyDescent="0.35">
      <c r="A1157" s="25"/>
      <c r="C1157" s="121"/>
      <c r="D1157" s="8"/>
      <c r="E1157" s="8"/>
      <c r="F1157" s="8"/>
      <c r="G1157" s="9"/>
      <c r="H1157" s="8"/>
      <c r="I1157" s="8"/>
      <c r="J1157" s="8"/>
      <c r="K1157" s="8"/>
      <c r="L1157" s="8"/>
      <c r="M1157" s="8"/>
      <c r="N1157" s="8"/>
      <c r="O1157" s="8"/>
      <c r="P1157" s="8"/>
    </row>
    <row r="1158" spans="1:16" ht="22.5" customHeight="1" x14ac:dyDescent="0.35">
      <c r="A1158" s="25"/>
      <c r="C1158" s="121"/>
      <c r="D1158" s="8"/>
      <c r="E1158" s="8"/>
      <c r="F1158" s="8"/>
      <c r="G1158" s="9"/>
      <c r="H1158" s="8"/>
      <c r="I1158" s="8"/>
      <c r="J1158" s="8"/>
      <c r="K1158" s="8"/>
      <c r="L1158" s="8"/>
      <c r="M1158" s="8"/>
      <c r="N1158" s="8"/>
      <c r="O1158" s="8"/>
      <c r="P1158" s="8"/>
    </row>
    <row r="1159" spans="1:16" ht="22.5" customHeight="1" x14ac:dyDescent="0.35">
      <c r="A1159" s="25"/>
      <c r="C1159" s="121"/>
      <c r="D1159" s="8"/>
      <c r="E1159" s="8"/>
      <c r="F1159" s="8"/>
      <c r="G1159" s="9"/>
      <c r="H1159" s="8"/>
      <c r="I1159" s="8"/>
      <c r="J1159" s="8"/>
      <c r="K1159" s="8"/>
      <c r="L1159" s="8"/>
      <c r="M1159" s="8"/>
      <c r="N1159" s="8"/>
      <c r="O1159" s="8"/>
      <c r="P1159" s="8"/>
    </row>
    <row r="1160" spans="1:16" ht="22.5" customHeight="1" x14ac:dyDescent="0.35">
      <c r="A1160" s="25"/>
      <c r="C1160" s="121"/>
      <c r="D1160" s="8"/>
      <c r="E1160" s="8"/>
      <c r="F1160" s="8"/>
      <c r="G1160" s="9"/>
      <c r="H1160" s="8"/>
      <c r="I1160" s="8"/>
      <c r="J1160" s="8"/>
      <c r="K1160" s="8"/>
      <c r="L1160" s="8"/>
      <c r="M1160" s="8"/>
      <c r="N1160" s="8"/>
      <c r="O1160" s="8"/>
      <c r="P1160" s="8"/>
    </row>
    <row r="1161" spans="1:16" ht="22.5" customHeight="1" x14ac:dyDescent="0.35">
      <c r="A1161" s="25"/>
      <c r="C1161" s="121"/>
      <c r="D1161" s="8"/>
      <c r="E1161" s="8"/>
      <c r="F1161" s="8"/>
      <c r="G1161" s="9"/>
      <c r="H1161" s="8"/>
      <c r="I1161" s="8"/>
      <c r="J1161" s="8"/>
      <c r="K1161" s="8"/>
      <c r="L1161" s="8"/>
      <c r="M1161" s="8"/>
      <c r="N1161" s="8"/>
      <c r="O1161" s="8"/>
      <c r="P1161" s="8"/>
    </row>
    <row r="1162" spans="1:16" ht="22.5" customHeight="1" x14ac:dyDescent="0.35">
      <c r="A1162" s="25"/>
      <c r="C1162" s="121"/>
      <c r="D1162" s="8"/>
      <c r="E1162" s="8"/>
      <c r="F1162" s="8"/>
      <c r="G1162" s="9"/>
      <c r="H1162" s="8"/>
      <c r="I1162" s="8"/>
      <c r="J1162" s="8"/>
      <c r="K1162" s="8"/>
      <c r="L1162" s="8"/>
      <c r="M1162" s="8"/>
      <c r="N1162" s="8"/>
      <c r="O1162" s="8"/>
      <c r="P1162" s="8"/>
    </row>
    <row r="1163" spans="1:16" ht="22.5" customHeight="1" x14ac:dyDescent="0.35">
      <c r="A1163" s="25"/>
      <c r="C1163" s="121"/>
      <c r="D1163" s="8"/>
      <c r="E1163" s="8"/>
      <c r="F1163" s="8"/>
      <c r="G1163" s="9"/>
      <c r="H1163" s="8"/>
      <c r="I1163" s="8"/>
      <c r="J1163" s="8"/>
      <c r="K1163" s="8"/>
      <c r="L1163" s="8"/>
      <c r="M1163" s="8"/>
      <c r="N1163" s="8"/>
      <c r="O1163" s="8"/>
      <c r="P1163" s="8"/>
    </row>
    <row r="1164" spans="1:16" ht="22.5" customHeight="1" x14ac:dyDescent="0.35">
      <c r="A1164" s="25"/>
      <c r="C1164" s="121"/>
      <c r="D1164" s="8"/>
      <c r="E1164" s="8"/>
      <c r="F1164" s="8"/>
      <c r="G1164" s="9"/>
      <c r="H1164" s="8"/>
      <c r="I1164" s="8"/>
      <c r="J1164" s="8"/>
      <c r="K1164" s="8"/>
      <c r="L1164" s="8"/>
      <c r="M1164" s="8"/>
      <c r="N1164" s="8"/>
      <c r="O1164" s="8"/>
      <c r="P1164" s="8"/>
    </row>
    <row r="1165" spans="1:16" ht="22.5" customHeight="1" x14ac:dyDescent="0.35">
      <c r="A1165" s="25"/>
      <c r="C1165" s="121"/>
      <c r="D1165" s="8"/>
      <c r="E1165" s="8"/>
      <c r="F1165" s="8"/>
      <c r="G1165" s="9"/>
      <c r="H1165" s="8"/>
      <c r="I1165" s="8"/>
      <c r="J1165" s="8"/>
      <c r="K1165" s="8"/>
      <c r="L1165" s="8"/>
      <c r="M1165" s="8"/>
      <c r="N1165" s="8"/>
      <c r="O1165" s="8"/>
      <c r="P1165" s="8"/>
    </row>
    <row r="1166" spans="1:16" ht="22.5" customHeight="1" x14ac:dyDescent="0.35">
      <c r="A1166" s="25"/>
      <c r="C1166" s="121"/>
      <c r="D1166" s="8"/>
      <c r="E1166" s="8"/>
      <c r="F1166" s="8"/>
      <c r="G1166" s="9"/>
      <c r="H1166" s="8"/>
      <c r="I1166" s="8"/>
      <c r="J1166" s="8"/>
      <c r="K1166" s="8"/>
      <c r="L1166" s="8"/>
      <c r="M1166" s="8"/>
      <c r="N1166" s="8"/>
      <c r="O1166" s="8"/>
      <c r="P1166" s="8"/>
    </row>
    <row r="1167" spans="1:16" ht="22.5" customHeight="1" x14ac:dyDescent="0.35">
      <c r="A1167" s="25"/>
      <c r="C1167" s="121"/>
      <c r="D1167" s="8"/>
      <c r="E1167" s="8"/>
      <c r="F1167" s="8"/>
      <c r="G1167" s="9"/>
      <c r="H1167" s="8"/>
      <c r="I1167" s="8"/>
      <c r="J1167" s="8"/>
      <c r="K1167" s="8"/>
      <c r="L1167" s="8"/>
      <c r="M1167" s="8"/>
      <c r="N1167" s="8"/>
      <c r="O1167" s="8"/>
      <c r="P1167" s="8"/>
    </row>
    <row r="1168" spans="1:16" ht="22.5" customHeight="1" x14ac:dyDescent="0.35">
      <c r="A1168" s="25"/>
      <c r="C1168" s="121"/>
      <c r="D1168" s="8"/>
      <c r="E1168" s="8"/>
      <c r="F1168" s="8"/>
      <c r="G1168" s="9"/>
      <c r="H1168" s="8"/>
      <c r="I1168" s="8"/>
      <c r="J1168" s="8"/>
      <c r="K1168" s="8"/>
      <c r="L1168" s="8"/>
      <c r="M1168" s="8"/>
      <c r="N1168" s="8"/>
      <c r="O1168" s="8"/>
      <c r="P1168" s="8"/>
    </row>
    <row r="1169" spans="1:16" ht="22.5" customHeight="1" x14ac:dyDescent="0.35">
      <c r="A1169" s="25"/>
      <c r="C1169" s="121"/>
      <c r="D1169" s="8"/>
      <c r="E1169" s="8"/>
      <c r="F1169" s="8"/>
      <c r="G1169" s="9"/>
      <c r="H1169" s="8"/>
      <c r="I1169" s="8"/>
      <c r="J1169" s="8"/>
      <c r="K1169" s="8"/>
      <c r="L1169" s="8"/>
      <c r="M1169" s="8"/>
      <c r="N1169" s="8"/>
      <c r="O1169" s="8"/>
      <c r="P1169" s="8"/>
    </row>
    <row r="1170" spans="1:16" ht="22.5" customHeight="1" x14ac:dyDescent="0.35">
      <c r="A1170" s="25"/>
      <c r="C1170" s="121"/>
      <c r="D1170" s="8"/>
      <c r="E1170" s="8"/>
      <c r="F1170" s="8"/>
      <c r="G1170" s="9"/>
      <c r="H1170" s="8"/>
      <c r="I1170" s="8"/>
      <c r="J1170" s="8"/>
      <c r="K1170" s="8"/>
      <c r="L1170" s="8"/>
      <c r="M1170" s="8"/>
      <c r="N1170" s="8"/>
      <c r="O1170" s="8"/>
      <c r="P1170" s="8"/>
    </row>
    <row r="1171" spans="1:16" ht="22.5" customHeight="1" x14ac:dyDescent="0.35">
      <c r="A1171" s="25"/>
      <c r="C1171" s="121"/>
      <c r="D1171" s="8"/>
      <c r="E1171" s="8"/>
      <c r="F1171" s="8"/>
      <c r="G1171" s="9"/>
      <c r="H1171" s="8"/>
      <c r="I1171" s="8"/>
      <c r="J1171" s="8"/>
      <c r="K1171" s="8"/>
      <c r="L1171" s="8"/>
      <c r="M1171" s="8"/>
      <c r="N1171" s="8"/>
      <c r="O1171" s="8"/>
      <c r="P1171" s="8"/>
    </row>
    <row r="1172" spans="1:16" ht="22.5" customHeight="1" x14ac:dyDescent="0.35">
      <c r="A1172" s="25"/>
      <c r="C1172" s="121"/>
      <c r="D1172" s="8"/>
      <c r="E1172" s="8"/>
      <c r="F1172" s="8"/>
      <c r="G1172" s="9"/>
      <c r="H1172" s="8"/>
      <c r="I1172" s="8"/>
      <c r="J1172" s="8"/>
      <c r="K1172" s="8"/>
      <c r="L1172" s="8"/>
      <c r="M1172" s="8"/>
      <c r="N1172" s="8"/>
      <c r="O1172" s="8"/>
      <c r="P1172" s="8"/>
    </row>
    <row r="1173" spans="1:16" ht="22.5" customHeight="1" x14ac:dyDescent="0.35">
      <c r="A1173" s="25"/>
      <c r="C1173" s="121"/>
      <c r="D1173" s="8"/>
      <c r="E1173" s="8"/>
      <c r="F1173" s="8"/>
      <c r="G1173" s="9"/>
      <c r="H1173" s="8"/>
      <c r="I1173" s="8"/>
      <c r="J1173" s="8"/>
      <c r="K1173" s="8"/>
      <c r="L1173" s="8"/>
      <c r="M1173" s="8"/>
      <c r="N1173" s="8"/>
      <c r="O1173" s="8"/>
      <c r="P1173" s="8"/>
    </row>
    <row r="1174" spans="1:16" ht="22.5" customHeight="1" x14ac:dyDescent="0.35">
      <c r="A1174" s="25"/>
      <c r="C1174" s="121"/>
      <c r="D1174" s="8"/>
      <c r="E1174" s="8"/>
      <c r="F1174" s="8"/>
      <c r="G1174" s="9"/>
      <c r="H1174" s="8"/>
      <c r="I1174" s="8"/>
      <c r="J1174" s="8"/>
      <c r="K1174" s="8"/>
      <c r="L1174" s="8"/>
      <c r="M1174" s="8"/>
      <c r="N1174" s="8"/>
      <c r="O1174" s="8"/>
      <c r="P1174" s="8"/>
    </row>
    <row r="1175" spans="1:16" ht="22.5" customHeight="1" x14ac:dyDescent="0.35">
      <c r="A1175" s="25"/>
      <c r="C1175" s="121"/>
      <c r="D1175" s="8"/>
      <c r="E1175" s="8"/>
      <c r="F1175" s="8"/>
      <c r="G1175" s="9"/>
      <c r="H1175" s="8"/>
      <c r="I1175" s="8"/>
      <c r="J1175" s="8"/>
      <c r="K1175" s="8"/>
      <c r="L1175" s="8"/>
      <c r="M1175" s="8"/>
      <c r="N1175" s="8"/>
      <c r="O1175" s="8"/>
      <c r="P1175" s="8"/>
    </row>
    <row r="1176" spans="1:16" ht="22.5" customHeight="1" x14ac:dyDescent="0.35">
      <c r="A1176" s="25"/>
      <c r="C1176" s="121"/>
      <c r="D1176" s="8"/>
      <c r="E1176" s="8"/>
      <c r="F1176" s="8"/>
      <c r="G1176" s="9"/>
      <c r="H1176" s="8"/>
      <c r="I1176" s="8"/>
      <c r="J1176" s="8"/>
      <c r="K1176" s="8"/>
      <c r="L1176" s="8"/>
      <c r="M1176" s="8"/>
      <c r="N1176" s="8"/>
      <c r="O1176" s="8"/>
      <c r="P1176" s="8"/>
    </row>
    <row r="1177" spans="1:16" ht="22.5" customHeight="1" x14ac:dyDescent="0.35">
      <c r="A1177" s="25"/>
      <c r="C1177" s="121"/>
      <c r="D1177" s="8"/>
      <c r="E1177" s="8"/>
      <c r="F1177" s="8"/>
      <c r="G1177" s="9"/>
      <c r="H1177" s="8"/>
      <c r="I1177" s="8"/>
      <c r="J1177" s="8"/>
      <c r="K1177" s="8"/>
      <c r="L1177" s="8"/>
      <c r="M1177" s="8"/>
      <c r="N1177" s="8"/>
      <c r="O1177" s="8"/>
      <c r="P1177" s="8"/>
    </row>
    <row r="1178" spans="1:16" ht="22.5" customHeight="1" x14ac:dyDescent="0.35">
      <c r="A1178" s="25"/>
      <c r="C1178" s="121"/>
      <c r="D1178" s="8"/>
      <c r="E1178" s="8"/>
      <c r="F1178" s="8"/>
      <c r="G1178" s="9"/>
      <c r="H1178" s="8"/>
      <c r="I1178" s="8"/>
      <c r="J1178" s="8"/>
      <c r="K1178" s="8"/>
      <c r="L1178" s="8"/>
      <c r="M1178" s="8"/>
      <c r="N1178" s="8"/>
      <c r="O1178" s="8"/>
      <c r="P1178" s="8"/>
    </row>
    <row r="1179" spans="1:16" ht="22.5" customHeight="1" x14ac:dyDescent="0.35">
      <c r="A1179" s="25"/>
      <c r="C1179" s="121"/>
      <c r="D1179" s="8"/>
      <c r="E1179" s="8"/>
      <c r="F1179" s="8"/>
      <c r="G1179" s="9"/>
      <c r="H1179" s="8"/>
      <c r="I1179" s="8"/>
      <c r="J1179" s="8"/>
      <c r="K1179" s="8"/>
      <c r="L1179" s="8"/>
      <c r="M1179" s="8"/>
      <c r="N1179" s="8"/>
      <c r="O1179" s="8"/>
      <c r="P1179" s="8"/>
    </row>
    <row r="1180" spans="1:16" ht="22.5" customHeight="1" x14ac:dyDescent="0.35">
      <c r="A1180" s="25"/>
      <c r="C1180" s="121"/>
      <c r="D1180" s="8"/>
      <c r="E1180" s="8"/>
      <c r="F1180" s="8"/>
      <c r="G1180" s="9"/>
      <c r="H1180" s="8"/>
      <c r="I1180" s="8"/>
      <c r="J1180" s="8"/>
      <c r="K1180" s="8"/>
      <c r="L1180" s="8"/>
      <c r="M1180" s="8"/>
      <c r="N1180" s="8"/>
      <c r="O1180" s="8"/>
      <c r="P1180" s="8"/>
    </row>
    <row r="1181" spans="1:16" ht="22.5" customHeight="1" x14ac:dyDescent="0.35">
      <c r="A1181" s="25"/>
      <c r="C1181" s="121"/>
      <c r="D1181" s="8"/>
      <c r="E1181" s="8"/>
      <c r="F1181" s="8"/>
      <c r="G1181" s="9"/>
      <c r="H1181" s="8"/>
      <c r="I1181" s="8"/>
      <c r="J1181" s="8"/>
      <c r="K1181" s="8"/>
      <c r="L1181" s="8"/>
      <c r="M1181" s="8"/>
      <c r="N1181" s="8"/>
      <c r="O1181" s="8"/>
      <c r="P1181" s="8"/>
    </row>
    <row r="1182" spans="1:16" ht="22.5" customHeight="1" x14ac:dyDescent="0.35">
      <c r="A1182" s="25"/>
      <c r="C1182" s="121"/>
      <c r="D1182" s="8"/>
      <c r="E1182" s="8"/>
      <c r="F1182" s="8"/>
      <c r="G1182" s="9"/>
      <c r="H1182" s="8"/>
      <c r="I1182" s="8"/>
      <c r="J1182" s="8"/>
      <c r="K1182" s="8"/>
      <c r="L1182" s="8"/>
      <c r="M1182" s="8"/>
      <c r="N1182" s="8"/>
      <c r="O1182" s="8"/>
      <c r="P1182" s="8"/>
    </row>
    <row r="1183" spans="1:16" ht="22.5" customHeight="1" x14ac:dyDescent="0.35">
      <c r="A1183" s="25"/>
      <c r="C1183" s="121"/>
      <c r="D1183" s="8"/>
      <c r="E1183" s="8"/>
      <c r="F1183" s="8"/>
      <c r="G1183" s="9"/>
      <c r="H1183" s="8"/>
      <c r="I1183" s="8"/>
      <c r="J1183" s="8"/>
      <c r="K1183" s="8"/>
      <c r="L1183" s="8"/>
      <c r="M1183" s="8"/>
      <c r="N1183" s="8"/>
      <c r="O1183" s="8"/>
      <c r="P1183" s="8"/>
    </row>
    <row r="1184" spans="1:16" ht="22.5" customHeight="1" x14ac:dyDescent="0.35">
      <c r="A1184" s="25"/>
      <c r="C1184" s="121"/>
      <c r="D1184" s="8"/>
      <c r="E1184" s="8"/>
      <c r="F1184" s="8"/>
      <c r="G1184" s="9"/>
      <c r="H1184" s="8"/>
      <c r="I1184" s="8"/>
      <c r="J1184" s="8"/>
      <c r="K1184" s="8"/>
      <c r="L1184" s="8"/>
      <c r="M1184" s="8"/>
      <c r="N1184" s="8"/>
      <c r="O1184" s="8"/>
      <c r="P1184" s="8"/>
    </row>
    <row r="1185" spans="1:16" ht="22.5" customHeight="1" x14ac:dyDescent="0.35">
      <c r="A1185" s="25"/>
      <c r="C1185" s="121"/>
      <c r="D1185" s="8"/>
      <c r="E1185" s="8"/>
      <c r="F1185" s="8"/>
      <c r="G1185" s="9"/>
      <c r="H1185" s="8"/>
      <c r="I1185" s="8"/>
      <c r="J1185" s="8"/>
      <c r="K1185" s="8"/>
      <c r="L1185" s="8"/>
      <c r="M1185" s="8"/>
      <c r="N1185" s="8"/>
      <c r="O1185" s="8"/>
      <c r="P1185" s="8"/>
    </row>
    <row r="1186" spans="1:16" ht="22.5" customHeight="1" x14ac:dyDescent="0.35">
      <c r="A1186" s="25"/>
      <c r="C1186" s="121"/>
      <c r="D1186" s="8"/>
      <c r="E1186" s="8"/>
      <c r="F1186" s="8"/>
      <c r="G1186" s="9"/>
      <c r="H1186" s="8"/>
      <c r="I1186" s="8"/>
      <c r="J1186" s="8"/>
      <c r="K1186" s="8"/>
      <c r="L1186" s="8"/>
      <c r="M1186" s="8"/>
      <c r="N1186" s="8"/>
      <c r="O1186" s="8"/>
      <c r="P1186" s="8"/>
    </row>
    <row r="1187" spans="1:16" ht="22.5" customHeight="1" x14ac:dyDescent="0.35">
      <c r="A1187" s="25"/>
      <c r="C1187" s="121"/>
      <c r="D1187" s="8"/>
      <c r="E1187" s="8"/>
      <c r="F1187" s="8"/>
      <c r="G1187" s="9"/>
      <c r="H1187" s="8"/>
      <c r="I1187" s="8"/>
      <c r="J1187" s="8"/>
      <c r="K1187" s="8"/>
      <c r="L1187" s="8"/>
      <c r="M1187" s="8"/>
      <c r="N1187" s="8"/>
      <c r="O1187" s="8"/>
      <c r="P1187" s="8"/>
    </row>
    <row r="1188" spans="1:16" ht="22.5" customHeight="1" x14ac:dyDescent="0.35">
      <c r="A1188" s="25"/>
      <c r="C1188" s="121"/>
      <c r="D1188" s="8"/>
      <c r="E1188" s="8"/>
      <c r="F1188" s="8"/>
      <c r="G1188" s="9"/>
      <c r="H1188" s="8"/>
      <c r="I1188" s="8"/>
      <c r="J1188" s="8"/>
      <c r="K1188" s="8"/>
      <c r="L1188" s="8"/>
      <c r="M1188" s="8"/>
      <c r="N1188" s="8"/>
      <c r="O1188" s="8"/>
      <c r="P1188" s="8"/>
    </row>
    <row r="1189" spans="1:16" ht="22.5" customHeight="1" x14ac:dyDescent="0.35">
      <c r="A1189" s="25"/>
      <c r="C1189" s="121"/>
      <c r="D1189" s="8"/>
      <c r="E1189" s="8"/>
      <c r="F1189" s="8"/>
      <c r="G1189" s="9"/>
      <c r="H1189" s="8"/>
      <c r="I1189" s="8"/>
      <c r="J1189" s="8"/>
      <c r="K1189" s="8"/>
      <c r="L1189" s="8"/>
      <c r="M1189" s="8"/>
      <c r="N1189" s="8"/>
      <c r="O1189" s="8"/>
      <c r="P1189" s="8"/>
    </row>
    <row r="1190" spans="1:16" ht="22.5" customHeight="1" x14ac:dyDescent="0.35">
      <c r="A1190" s="25"/>
      <c r="C1190" s="121"/>
      <c r="D1190" s="8"/>
      <c r="E1190" s="8"/>
      <c r="F1190" s="8"/>
      <c r="G1190" s="9"/>
      <c r="H1190" s="8"/>
      <c r="I1190" s="8"/>
      <c r="J1190" s="8"/>
      <c r="K1190" s="8"/>
      <c r="L1190" s="8"/>
      <c r="M1190" s="8"/>
      <c r="N1190" s="8"/>
      <c r="O1190" s="8"/>
      <c r="P1190" s="8"/>
    </row>
    <row r="1191" spans="1:16" ht="22.5" customHeight="1" x14ac:dyDescent="0.35">
      <c r="A1191" s="25"/>
      <c r="C1191" s="121"/>
      <c r="D1191" s="8"/>
      <c r="E1191" s="8"/>
      <c r="F1191" s="8"/>
      <c r="G1191" s="9"/>
      <c r="H1191" s="8"/>
      <c r="I1191" s="8"/>
      <c r="J1191" s="8"/>
      <c r="K1191" s="8"/>
      <c r="L1191" s="8"/>
      <c r="M1191" s="8"/>
      <c r="N1191" s="8"/>
      <c r="O1191" s="8"/>
      <c r="P1191" s="8"/>
    </row>
    <row r="1192" spans="1:16" ht="22.5" customHeight="1" x14ac:dyDescent="0.35">
      <c r="A1192" s="25"/>
      <c r="C1192" s="121"/>
      <c r="D1192" s="8"/>
      <c r="E1192" s="8"/>
      <c r="F1192" s="8"/>
      <c r="G1192" s="9"/>
      <c r="H1192" s="8"/>
      <c r="I1192" s="8"/>
      <c r="J1192" s="8"/>
      <c r="K1192" s="8"/>
      <c r="L1192" s="8"/>
      <c r="M1192" s="8"/>
      <c r="N1192" s="8"/>
      <c r="O1192" s="8"/>
      <c r="P1192" s="8"/>
    </row>
    <row r="1193" spans="1:16" ht="22.5" customHeight="1" x14ac:dyDescent="0.35">
      <c r="A1193" s="25"/>
      <c r="C1193" s="121"/>
      <c r="D1193" s="8"/>
      <c r="E1193" s="8"/>
      <c r="F1193" s="8"/>
      <c r="G1193" s="9"/>
      <c r="H1193" s="8"/>
      <c r="I1193" s="8"/>
      <c r="J1193" s="8"/>
      <c r="K1193" s="8"/>
      <c r="L1193" s="8"/>
      <c r="M1193" s="8"/>
      <c r="N1193" s="8"/>
      <c r="O1193" s="8"/>
      <c r="P1193" s="8"/>
    </row>
    <row r="1194" spans="1:16" ht="22.5" customHeight="1" x14ac:dyDescent="0.35">
      <c r="A1194" s="25"/>
      <c r="C1194" s="121"/>
      <c r="D1194" s="8"/>
      <c r="E1194" s="8"/>
      <c r="F1194" s="8"/>
      <c r="G1194" s="9"/>
      <c r="H1194" s="8"/>
      <c r="I1194" s="8"/>
      <c r="J1194" s="8"/>
      <c r="K1194" s="8"/>
      <c r="L1194" s="8"/>
      <c r="M1194" s="8"/>
      <c r="N1194" s="8"/>
      <c r="O1194" s="8"/>
      <c r="P1194" s="8"/>
    </row>
    <row r="1195" spans="1:16" ht="22.5" customHeight="1" x14ac:dyDescent="0.35">
      <c r="A1195" s="25"/>
      <c r="C1195" s="121"/>
      <c r="D1195" s="8"/>
      <c r="E1195" s="8"/>
      <c r="F1195" s="8"/>
      <c r="G1195" s="9"/>
      <c r="H1195" s="8"/>
      <c r="I1195" s="8"/>
      <c r="J1195" s="8"/>
      <c r="K1195" s="8"/>
      <c r="L1195" s="8"/>
      <c r="M1195" s="8"/>
      <c r="N1195" s="8"/>
      <c r="O1195" s="8"/>
      <c r="P1195" s="8"/>
    </row>
    <row r="1196" spans="1:16" ht="22.5" customHeight="1" x14ac:dyDescent="0.35">
      <c r="A1196" s="25"/>
      <c r="C1196" s="121"/>
      <c r="D1196" s="8"/>
      <c r="E1196" s="8"/>
      <c r="F1196" s="8"/>
      <c r="G1196" s="9"/>
      <c r="H1196" s="8"/>
      <c r="I1196" s="8"/>
      <c r="J1196" s="8"/>
      <c r="K1196" s="8"/>
      <c r="L1196" s="8"/>
      <c r="M1196" s="8"/>
      <c r="N1196" s="8"/>
      <c r="O1196" s="8"/>
      <c r="P1196" s="8"/>
    </row>
    <row r="1197" spans="1:16" ht="22.5" customHeight="1" x14ac:dyDescent="0.35">
      <c r="A1197" s="25"/>
      <c r="C1197" s="121"/>
      <c r="D1197" s="8"/>
      <c r="E1197" s="8"/>
      <c r="F1197" s="8"/>
      <c r="G1197" s="9"/>
      <c r="H1197" s="8"/>
      <c r="I1197" s="8"/>
      <c r="J1197" s="8"/>
      <c r="K1197" s="8"/>
      <c r="L1197" s="8"/>
      <c r="M1197" s="8"/>
      <c r="N1197" s="8"/>
      <c r="O1197" s="8"/>
      <c r="P1197" s="8"/>
    </row>
    <row r="1198" spans="1:16" ht="22.5" customHeight="1" x14ac:dyDescent="0.35">
      <c r="A1198" s="25"/>
      <c r="C1198" s="121"/>
      <c r="D1198" s="8"/>
      <c r="E1198" s="8"/>
      <c r="F1198" s="8"/>
      <c r="G1198" s="9"/>
      <c r="H1198" s="8"/>
      <c r="I1198" s="8"/>
      <c r="J1198" s="8"/>
      <c r="K1198" s="8"/>
      <c r="L1198" s="8"/>
      <c r="M1198" s="8"/>
      <c r="N1198" s="8"/>
      <c r="O1198" s="8"/>
      <c r="P1198" s="8"/>
    </row>
    <row r="1199" spans="1:16" ht="22.5" customHeight="1" x14ac:dyDescent="0.35">
      <c r="A1199" s="25"/>
      <c r="C1199" s="121"/>
      <c r="D1199" s="8"/>
      <c r="E1199" s="8"/>
      <c r="F1199" s="8"/>
      <c r="G1199" s="9"/>
      <c r="H1199" s="8"/>
      <c r="I1199" s="8"/>
      <c r="J1199" s="8"/>
      <c r="K1199" s="8"/>
      <c r="L1199" s="8"/>
      <c r="M1199" s="8"/>
      <c r="N1199" s="8"/>
      <c r="O1199" s="8"/>
      <c r="P1199" s="8"/>
    </row>
    <row r="1200" spans="1:16" ht="22.5" customHeight="1" x14ac:dyDescent="0.35">
      <c r="A1200" s="25"/>
      <c r="C1200" s="121"/>
      <c r="D1200" s="8"/>
      <c r="E1200" s="8"/>
      <c r="F1200" s="8"/>
      <c r="G1200" s="9"/>
      <c r="H1200" s="8"/>
      <c r="I1200" s="8"/>
      <c r="J1200" s="8"/>
      <c r="K1200" s="8"/>
      <c r="L1200" s="8"/>
      <c r="M1200" s="8"/>
      <c r="N1200" s="8"/>
      <c r="O1200" s="8"/>
      <c r="P1200" s="8"/>
    </row>
    <row r="1201" spans="1:16" ht="22.5" customHeight="1" x14ac:dyDescent="0.35">
      <c r="A1201" s="25"/>
      <c r="C1201" s="121"/>
      <c r="D1201" s="8"/>
      <c r="E1201" s="8"/>
      <c r="F1201" s="8"/>
      <c r="G1201" s="9"/>
      <c r="H1201" s="8"/>
      <c r="I1201" s="8"/>
      <c r="J1201" s="8"/>
      <c r="K1201" s="8"/>
      <c r="L1201" s="8"/>
      <c r="M1201" s="8"/>
      <c r="N1201" s="8"/>
      <c r="O1201" s="8"/>
      <c r="P1201" s="8"/>
    </row>
    <row r="1202" spans="1:16" ht="22.5" customHeight="1" x14ac:dyDescent="0.35">
      <c r="A1202" s="25"/>
      <c r="C1202" s="121"/>
      <c r="D1202" s="8"/>
      <c r="E1202" s="8"/>
      <c r="F1202" s="8"/>
      <c r="G1202" s="9"/>
      <c r="H1202" s="8"/>
      <c r="I1202" s="8"/>
      <c r="J1202" s="8"/>
      <c r="K1202" s="8"/>
      <c r="L1202" s="8"/>
      <c r="M1202" s="8"/>
      <c r="N1202" s="8"/>
      <c r="O1202" s="8"/>
      <c r="P1202" s="8"/>
    </row>
    <row r="1203" spans="1:16" ht="22.5" customHeight="1" x14ac:dyDescent="0.35">
      <c r="A1203" s="25"/>
      <c r="C1203" s="121"/>
      <c r="D1203" s="8"/>
      <c r="E1203" s="8"/>
      <c r="F1203" s="8"/>
      <c r="G1203" s="9"/>
      <c r="H1203" s="8"/>
      <c r="I1203" s="8"/>
      <c r="J1203" s="8"/>
      <c r="K1203" s="8"/>
      <c r="L1203" s="8"/>
      <c r="M1203" s="8"/>
      <c r="N1203" s="8"/>
      <c r="O1203" s="8"/>
      <c r="P1203" s="8"/>
    </row>
    <row r="1204" spans="1:16" ht="22.5" customHeight="1" x14ac:dyDescent="0.35">
      <c r="A1204" s="25"/>
      <c r="C1204" s="121"/>
      <c r="D1204" s="8"/>
      <c r="E1204" s="8"/>
      <c r="F1204" s="8"/>
      <c r="G1204" s="9"/>
      <c r="H1204" s="8"/>
      <c r="I1204" s="8"/>
      <c r="J1204" s="8"/>
      <c r="K1204" s="8"/>
      <c r="L1204" s="8"/>
      <c r="M1204" s="8"/>
      <c r="N1204" s="8"/>
      <c r="O1204" s="8"/>
      <c r="P1204" s="8"/>
    </row>
    <row r="1205" spans="1:16" ht="22.5" customHeight="1" x14ac:dyDescent="0.35">
      <c r="A1205" s="25"/>
      <c r="C1205" s="121"/>
      <c r="D1205" s="8"/>
      <c r="E1205" s="8"/>
      <c r="F1205" s="8"/>
      <c r="G1205" s="9"/>
      <c r="H1205" s="8"/>
      <c r="I1205" s="8"/>
      <c r="J1205" s="8"/>
      <c r="K1205" s="8"/>
      <c r="L1205" s="8"/>
      <c r="M1205" s="8"/>
      <c r="N1205" s="8"/>
      <c r="O1205" s="8"/>
      <c r="P1205" s="8"/>
    </row>
    <row r="1206" spans="1:16" ht="22.5" customHeight="1" x14ac:dyDescent="0.35">
      <c r="A1206" s="25"/>
      <c r="C1206" s="121"/>
      <c r="D1206" s="8"/>
      <c r="E1206" s="8"/>
      <c r="F1206" s="8"/>
      <c r="G1206" s="9"/>
      <c r="H1206" s="8"/>
      <c r="I1206" s="8"/>
      <c r="J1206" s="8"/>
      <c r="K1206" s="8"/>
      <c r="L1206" s="8"/>
      <c r="M1206" s="8"/>
      <c r="N1206" s="8"/>
      <c r="O1206" s="8"/>
      <c r="P1206" s="8"/>
    </row>
    <row r="1207" spans="1:16" ht="22.5" customHeight="1" x14ac:dyDescent="0.35">
      <c r="A1207" s="25"/>
      <c r="C1207" s="121"/>
      <c r="D1207" s="8"/>
      <c r="E1207" s="8"/>
      <c r="F1207" s="8"/>
      <c r="G1207" s="9"/>
      <c r="H1207" s="8"/>
      <c r="I1207" s="8"/>
      <c r="J1207" s="8"/>
      <c r="K1207" s="8"/>
      <c r="L1207" s="8"/>
      <c r="M1207" s="8"/>
      <c r="N1207" s="8"/>
      <c r="O1207" s="8"/>
      <c r="P1207" s="8"/>
    </row>
    <row r="1208" spans="1:16" ht="22.5" customHeight="1" x14ac:dyDescent="0.35">
      <c r="A1208" s="25"/>
      <c r="C1208" s="121"/>
      <c r="D1208" s="8"/>
      <c r="E1208" s="8"/>
      <c r="F1208" s="8"/>
      <c r="G1208" s="9"/>
      <c r="H1208" s="8"/>
      <c r="I1208" s="8"/>
      <c r="J1208" s="8"/>
      <c r="K1208" s="8"/>
      <c r="L1208" s="8"/>
      <c r="M1208" s="8"/>
      <c r="N1208" s="8"/>
      <c r="O1208" s="8"/>
      <c r="P1208" s="8"/>
    </row>
    <row r="1209" spans="1:16" ht="22.5" customHeight="1" x14ac:dyDescent="0.35">
      <c r="A1209" s="25"/>
      <c r="C1209" s="121"/>
      <c r="D1209" s="8"/>
      <c r="E1209" s="8"/>
      <c r="F1209" s="8"/>
      <c r="G1209" s="9"/>
      <c r="H1209" s="8"/>
      <c r="I1209" s="8"/>
      <c r="J1209" s="8"/>
      <c r="K1209" s="8"/>
      <c r="L1209" s="8"/>
      <c r="M1209" s="8"/>
      <c r="N1209" s="8"/>
      <c r="O1209" s="8"/>
      <c r="P1209" s="8"/>
    </row>
    <row r="1210" spans="1:16" ht="22.5" customHeight="1" x14ac:dyDescent="0.35">
      <c r="A1210" s="25"/>
      <c r="C1210" s="121"/>
      <c r="D1210" s="8"/>
      <c r="E1210" s="8"/>
      <c r="F1210" s="8"/>
      <c r="G1210" s="9"/>
      <c r="H1210" s="8"/>
      <c r="I1210" s="8"/>
      <c r="J1210" s="8"/>
      <c r="K1210" s="8"/>
      <c r="L1210" s="8"/>
      <c r="M1210" s="8"/>
      <c r="N1210" s="8"/>
      <c r="O1210" s="8"/>
      <c r="P1210" s="8"/>
    </row>
    <row r="1211" spans="1:16" ht="22.5" customHeight="1" x14ac:dyDescent="0.35">
      <c r="A1211" s="25"/>
      <c r="C1211" s="121"/>
      <c r="D1211" s="8"/>
      <c r="E1211" s="8"/>
      <c r="F1211" s="8"/>
      <c r="G1211" s="9"/>
      <c r="H1211" s="8"/>
      <c r="I1211" s="8"/>
      <c r="J1211" s="8"/>
      <c r="K1211" s="8"/>
      <c r="L1211" s="8"/>
      <c r="M1211" s="8"/>
      <c r="N1211" s="8"/>
      <c r="O1211" s="8"/>
      <c r="P1211" s="8"/>
    </row>
    <row r="1212" spans="1:16" ht="22.5" customHeight="1" x14ac:dyDescent="0.35">
      <c r="A1212" s="25"/>
      <c r="C1212" s="121"/>
      <c r="D1212" s="8"/>
      <c r="E1212" s="8"/>
      <c r="F1212" s="8"/>
      <c r="G1212" s="9"/>
      <c r="H1212" s="8"/>
      <c r="I1212" s="8"/>
      <c r="J1212" s="8"/>
      <c r="K1212" s="8"/>
      <c r="L1212" s="8"/>
      <c r="M1212" s="8"/>
      <c r="N1212" s="8"/>
      <c r="O1212" s="8"/>
      <c r="P1212" s="8"/>
    </row>
    <row r="1213" spans="1:16" ht="22.5" customHeight="1" x14ac:dyDescent="0.35">
      <c r="A1213" s="25"/>
      <c r="C1213" s="121"/>
      <c r="D1213" s="8"/>
      <c r="E1213" s="8"/>
      <c r="F1213" s="8"/>
      <c r="G1213" s="9"/>
      <c r="H1213" s="8"/>
      <c r="I1213" s="8"/>
      <c r="J1213" s="8"/>
      <c r="K1213" s="8"/>
      <c r="L1213" s="8"/>
      <c r="M1213" s="8"/>
      <c r="N1213" s="8"/>
      <c r="O1213" s="8"/>
      <c r="P1213" s="8"/>
    </row>
    <row r="1214" spans="1:16" ht="22.5" customHeight="1" x14ac:dyDescent="0.35">
      <c r="A1214" s="25"/>
      <c r="C1214" s="121"/>
      <c r="D1214" s="8"/>
      <c r="E1214" s="8"/>
      <c r="F1214" s="8"/>
      <c r="G1214" s="9"/>
      <c r="H1214" s="8"/>
      <c r="I1214" s="8"/>
      <c r="J1214" s="8"/>
      <c r="K1214" s="8"/>
      <c r="L1214" s="8"/>
      <c r="M1214" s="8"/>
      <c r="N1214" s="8"/>
      <c r="O1214" s="8"/>
      <c r="P1214" s="8"/>
    </row>
    <row r="1215" spans="1:16" ht="22.5" customHeight="1" x14ac:dyDescent="0.35">
      <c r="A1215" s="25"/>
      <c r="C1215" s="121"/>
      <c r="D1215" s="8"/>
      <c r="E1215" s="8"/>
      <c r="F1215" s="8"/>
      <c r="G1215" s="9"/>
      <c r="H1215" s="8"/>
      <c r="I1215" s="8"/>
      <c r="J1215" s="8"/>
      <c r="K1215" s="8"/>
      <c r="L1215" s="8"/>
      <c r="M1215" s="8"/>
      <c r="N1215" s="8"/>
      <c r="O1215" s="8"/>
      <c r="P1215" s="8"/>
    </row>
    <row r="1216" spans="1:16" ht="22.5" customHeight="1" x14ac:dyDescent="0.35">
      <c r="A1216" s="25"/>
      <c r="C1216" s="121"/>
      <c r="D1216" s="8"/>
      <c r="E1216" s="8"/>
      <c r="F1216" s="8"/>
      <c r="G1216" s="9"/>
      <c r="H1216" s="8"/>
      <c r="I1216" s="8"/>
      <c r="J1216" s="8"/>
      <c r="K1216" s="8"/>
      <c r="L1216" s="8"/>
      <c r="M1216" s="8"/>
      <c r="N1216" s="8"/>
      <c r="O1216" s="8"/>
      <c r="P1216" s="8"/>
    </row>
    <row r="1217" spans="1:16" ht="22.5" customHeight="1" x14ac:dyDescent="0.35">
      <c r="A1217" s="25"/>
      <c r="C1217" s="121"/>
      <c r="D1217" s="8"/>
      <c r="E1217" s="8"/>
      <c r="F1217" s="8"/>
      <c r="G1217" s="9"/>
      <c r="H1217" s="8"/>
      <c r="I1217" s="8"/>
      <c r="J1217" s="8"/>
      <c r="K1217" s="8"/>
      <c r="L1217" s="8"/>
      <c r="M1217" s="8"/>
      <c r="N1217" s="8"/>
      <c r="O1217" s="8"/>
      <c r="P1217" s="8"/>
    </row>
    <row r="1218" spans="1:16" ht="22.5" customHeight="1" x14ac:dyDescent="0.35">
      <c r="A1218" s="25"/>
      <c r="C1218" s="121"/>
      <c r="D1218" s="8"/>
      <c r="E1218" s="8"/>
      <c r="F1218" s="8"/>
      <c r="G1218" s="9"/>
      <c r="H1218" s="8"/>
      <c r="I1218" s="8"/>
      <c r="J1218" s="8"/>
      <c r="K1218" s="8"/>
      <c r="L1218" s="8"/>
      <c r="M1218" s="8"/>
      <c r="N1218" s="8"/>
      <c r="O1218" s="8"/>
      <c r="P1218" s="8"/>
    </row>
    <row r="1219" spans="1:16" ht="22.5" customHeight="1" x14ac:dyDescent="0.35">
      <c r="A1219" s="25"/>
      <c r="C1219" s="121"/>
      <c r="D1219" s="8"/>
      <c r="E1219" s="8"/>
      <c r="F1219" s="8"/>
      <c r="G1219" s="9"/>
      <c r="H1219" s="8"/>
      <c r="I1219" s="8"/>
      <c r="J1219" s="8"/>
      <c r="K1219" s="8"/>
      <c r="L1219" s="8"/>
      <c r="M1219" s="8"/>
      <c r="N1219" s="8"/>
      <c r="O1219" s="8"/>
      <c r="P1219" s="8"/>
    </row>
    <row r="1220" spans="1:16" ht="22.5" customHeight="1" x14ac:dyDescent="0.35">
      <c r="A1220" s="25"/>
      <c r="C1220" s="121"/>
      <c r="D1220" s="8"/>
      <c r="E1220" s="8"/>
      <c r="F1220" s="8"/>
      <c r="G1220" s="9"/>
      <c r="H1220" s="8"/>
      <c r="I1220" s="8"/>
      <c r="J1220" s="8"/>
      <c r="K1220" s="8"/>
      <c r="L1220" s="8"/>
      <c r="M1220" s="8"/>
      <c r="N1220" s="8"/>
      <c r="O1220" s="8"/>
      <c r="P1220" s="8"/>
    </row>
    <row r="1221" spans="1:16" ht="22.5" customHeight="1" x14ac:dyDescent="0.35">
      <c r="A1221" s="25"/>
      <c r="C1221" s="121"/>
      <c r="D1221" s="8"/>
      <c r="E1221" s="8"/>
      <c r="F1221" s="8"/>
      <c r="G1221" s="9"/>
      <c r="H1221" s="8"/>
      <c r="I1221" s="8"/>
      <c r="J1221" s="8"/>
      <c r="K1221" s="8"/>
      <c r="L1221" s="8"/>
      <c r="M1221" s="8"/>
      <c r="N1221" s="8"/>
      <c r="O1221" s="8"/>
      <c r="P1221" s="8"/>
    </row>
    <row r="1222" spans="1:16" ht="22.5" customHeight="1" x14ac:dyDescent="0.35">
      <c r="A1222" s="25"/>
      <c r="C1222" s="121"/>
      <c r="D1222" s="8"/>
      <c r="E1222" s="8"/>
      <c r="F1222" s="8"/>
      <c r="G1222" s="9"/>
      <c r="H1222" s="8"/>
      <c r="I1222" s="8"/>
      <c r="J1222" s="8"/>
      <c r="K1222" s="8"/>
      <c r="L1222" s="8"/>
      <c r="M1222" s="8"/>
      <c r="N1222" s="8"/>
      <c r="O1222" s="8"/>
      <c r="P1222" s="8"/>
    </row>
    <row r="1223" spans="1:16" ht="22.5" customHeight="1" x14ac:dyDescent="0.35">
      <c r="A1223" s="25"/>
      <c r="C1223" s="121"/>
      <c r="D1223" s="8"/>
      <c r="E1223" s="8"/>
      <c r="F1223" s="8"/>
      <c r="G1223" s="9"/>
      <c r="H1223" s="8"/>
      <c r="I1223" s="8"/>
      <c r="J1223" s="8"/>
      <c r="K1223" s="8"/>
      <c r="L1223" s="8"/>
      <c r="M1223" s="8"/>
      <c r="N1223" s="8"/>
      <c r="O1223" s="8"/>
      <c r="P1223" s="8"/>
    </row>
    <row r="1224" spans="1:16" ht="22.5" customHeight="1" x14ac:dyDescent="0.35">
      <c r="A1224" s="25"/>
      <c r="C1224" s="121"/>
      <c r="D1224" s="8"/>
      <c r="E1224" s="8"/>
      <c r="F1224" s="8"/>
      <c r="G1224" s="9"/>
      <c r="H1224" s="8"/>
      <c r="I1224" s="8"/>
      <c r="J1224" s="8"/>
      <c r="K1224" s="8"/>
      <c r="L1224" s="8"/>
      <c r="M1224" s="8"/>
      <c r="N1224" s="8"/>
      <c r="O1224" s="8"/>
      <c r="P1224" s="8"/>
    </row>
    <row r="1225" spans="1:16" ht="22.5" customHeight="1" x14ac:dyDescent="0.35">
      <c r="A1225" s="25"/>
      <c r="C1225" s="121"/>
      <c r="D1225" s="8"/>
      <c r="E1225" s="8"/>
      <c r="F1225" s="8"/>
      <c r="G1225" s="9"/>
      <c r="H1225" s="8"/>
      <c r="I1225" s="8"/>
      <c r="J1225" s="8"/>
      <c r="K1225" s="8"/>
      <c r="L1225" s="8"/>
      <c r="M1225" s="8"/>
      <c r="N1225" s="8"/>
      <c r="O1225" s="8"/>
      <c r="P1225" s="8"/>
    </row>
    <row r="1226" spans="1:16" ht="22.5" customHeight="1" x14ac:dyDescent="0.35">
      <c r="A1226" s="25"/>
      <c r="C1226" s="121"/>
      <c r="D1226" s="8"/>
      <c r="E1226" s="8"/>
      <c r="F1226" s="8"/>
      <c r="G1226" s="9"/>
      <c r="H1226" s="8"/>
      <c r="I1226" s="8"/>
      <c r="J1226" s="8"/>
      <c r="K1226" s="8"/>
      <c r="L1226" s="8"/>
      <c r="M1226" s="8"/>
      <c r="N1226" s="8"/>
      <c r="O1226" s="8"/>
      <c r="P1226" s="8"/>
    </row>
    <row r="1227" spans="1:16" ht="22.5" customHeight="1" x14ac:dyDescent="0.35">
      <c r="A1227" s="25"/>
      <c r="C1227" s="121"/>
      <c r="D1227" s="8"/>
      <c r="E1227" s="8"/>
      <c r="F1227" s="8"/>
      <c r="G1227" s="9"/>
      <c r="H1227" s="8"/>
      <c r="I1227" s="8"/>
      <c r="J1227" s="8"/>
      <c r="K1227" s="8"/>
      <c r="L1227" s="8"/>
      <c r="M1227" s="8"/>
      <c r="N1227" s="8"/>
      <c r="O1227" s="8"/>
      <c r="P1227" s="8"/>
    </row>
    <row r="1228" spans="1:16" ht="22.5" customHeight="1" x14ac:dyDescent="0.35">
      <c r="A1228" s="25"/>
      <c r="C1228" s="121"/>
      <c r="D1228" s="8"/>
      <c r="E1228" s="8"/>
      <c r="F1228" s="8"/>
      <c r="G1228" s="9"/>
      <c r="H1228" s="8"/>
      <c r="I1228" s="8"/>
      <c r="J1228" s="8"/>
      <c r="K1228" s="8"/>
      <c r="L1228" s="8"/>
      <c r="M1228" s="8"/>
      <c r="N1228" s="8"/>
      <c r="O1228" s="8"/>
      <c r="P1228" s="8"/>
    </row>
    <row r="1229" spans="1:16" ht="22.5" customHeight="1" x14ac:dyDescent="0.35">
      <c r="A1229" s="25"/>
      <c r="C1229" s="121"/>
      <c r="D1229" s="8"/>
      <c r="E1229" s="8"/>
      <c r="F1229" s="8"/>
      <c r="G1229" s="9"/>
      <c r="H1229" s="8"/>
      <c r="I1229" s="8"/>
      <c r="J1229" s="8"/>
      <c r="K1229" s="8"/>
      <c r="L1229" s="8"/>
      <c r="M1229" s="8"/>
      <c r="N1229" s="8"/>
      <c r="O1229" s="8"/>
      <c r="P1229" s="8"/>
    </row>
    <row r="1230" spans="1:16" ht="22.5" customHeight="1" x14ac:dyDescent="0.35">
      <c r="A1230" s="25"/>
      <c r="C1230" s="121"/>
      <c r="D1230" s="8"/>
      <c r="E1230" s="8"/>
      <c r="F1230" s="8"/>
      <c r="G1230" s="9"/>
      <c r="H1230" s="8"/>
      <c r="I1230" s="8"/>
      <c r="J1230" s="8"/>
      <c r="K1230" s="8"/>
      <c r="L1230" s="8"/>
      <c r="M1230" s="8"/>
      <c r="N1230" s="8"/>
      <c r="O1230" s="8"/>
      <c r="P1230" s="8"/>
    </row>
    <row r="1231" spans="1:16" ht="22.5" customHeight="1" x14ac:dyDescent="0.35">
      <c r="A1231" s="25"/>
      <c r="C1231" s="121"/>
      <c r="D1231" s="8"/>
      <c r="E1231" s="8"/>
      <c r="F1231" s="8"/>
      <c r="G1231" s="9"/>
      <c r="H1231" s="8"/>
      <c r="I1231" s="8"/>
      <c r="J1231" s="8"/>
      <c r="K1231" s="8"/>
      <c r="L1231" s="8"/>
      <c r="M1231" s="8"/>
      <c r="N1231" s="8"/>
      <c r="O1231" s="8"/>
      <c r="P1231" s="8"/>
    </row>
    <row r="1232" spans="1:16" ht="22.5" customHeight="1" x14ac:dyDescent="0.35">
      <c r="A1232" s="25"/>
      <c r="C1232" s="121"/>
      <c r="D1232" s="8"/>
      <c r="E1232" s="8"/>
      <c r="F1232" s="8"/>
      <c r="G1232" s="9"/>
      <c r="H1232" s="8"/>
      <c r="I1232" s="8"/>
      <c r="J1232" s="8"/>
      <c r="K1232" s="8"/>
      <c r="L1232" s="8"/>
      <c r="M1232" s="8"/>
      <c r="N1232" s="8"/>
      <c r="O1232" s="8"/>
      <c r="P1232" s="8"/>
    </row>
    <row r="1233" spans="1:16" ht="22.5" customHeight="1" x14ac:dyDescent="0.35">
      <c r="A1233" s="25"/>
      <c r="C1233" s="121"/>
      <c r="D1233" s="8"/>
      <c r="E1233" s="8"/>
      <c r="F1233" s="8"/>
      <c r="G1233" s="9"/>
      <c r="H1233" s="8"/>
      <c r="I1233" s="8"/>
      <c r="J1233" s="8"/>
      <c r="K1233" s="8"/>
      <c r="L1233" s="8"/>
      <c r="M1233" s="8"/>
      <c r="N1233" s="8"/>
      <c r="O1233" s="8"/>
      <c r="P1233" s="8"/>
    </row>
    <row r="1234" spans="1:16" ht="22.5" customHeight="1" x14ac:dyDescent="0.35">
      <c r="A1234" s="25"/>
      <c r="C1234" s="121"/>
      <c r="D1234" s="8"/>
      <c r="E1234" s="8"/>
      <c r="F1234" s="8"/>
      <c r="G1234" s="9"/>
      <c r="H1234" s="8"/>
      <c r="I1234" s="8"/>
      <c r="J1234" s="8"/>
      <c r="K1234" s="8"/>
      <c r="L1234" s="8"/>
      <c r="M1234" s="8"/>
      <c r="N1234" s="8"/>
      <c r="O1234" s="8"/>
      <c r="P1234" s="8"/>
    </row>
    <row r="1235" spans="1:16" ht="22.5" customHeight="1" x14ac:dyDescent="0.35">
      <c r="A1235" s="25"/>
      <c r="C1235" s="121"/>
      <c r="D1235" s="8"/>
      <c r="E1235" s="8"/>
      <c r="F1235" s="8"/>
      <c r="G1235" s="9"/>
      <c r="H1235" s="8"/>
      <c r="I1235" s="8"/>
      <c r="J1235" s="8"/>
      <c r="K1235" s="8"/>
      <c r="L1235" s="8"/>
      <c r="M1235" s="8"/>
      <c r="N1235" s="8"/>
      <c r="O1235" s="8"/>
      <c r="P1235" s="8"/>
    </row>
    <row r="1236" spans="1:16" ht="22.5" customHeight="1" x14ac:dyDescent="0.35">
      <c r="A1236" s="25"/>
      <c r="C1236" s="121"/>
      <c r="D1236" s="8"/>
      <c r="E1236" s="8"/>
      <c r="F1236" s="8"/>
      <c r="G1236" s="9"/>
      <c r="H1236" s="8"/>
      <c r="I1236" s="8"/>
      <c r="J1236" s="8"/>
      <c r="K1236" s="8"/>
      <c r="L1236" s="8"/>
      <c r="M1236" s="8"/>
      <c r="N1236" s="8"/>
      <c r="O1236" s="8"/>
      <c r="P1236" s="8"/>
    </row>
    <row r="1237" spans="1:16" ht="22.5" customHeight="1" x14ac:dyDescent="0.35">
      <c r="A1237" s="25"/>
      <c r="C1237" s="121"/>
      <c r="D1237" s="8"/>
      <c r="E1237" s="8"/>
      <c r="F1237" s="8"/>
      <c r="G1237" s="9"/>
      <c r="H1237" s="8"/>
      <c r="I1237" s="8"/>
      <c r="J1237" s="8"/>
      <c r="K1237" s="8"/>
      <c r="L1237" s="8"/>
      <c r="M1237" s="8"/>
      <c r="N1237" s="8"/>
      <c r="O1237" s="8"/>
      <c r="P1237" s="8"/>
    </row>
    <row r="1238" spans="1:16" ht="22.5" customHeight="1" x14ac:dyDescent="0.35">
      <c r="A1238" s="25"/>
      <c r="C1238" s="121"/>
      <c r="D1238" s="8"/>
      <c r="E1238" s="8"/>
      <c r="F1238" s="8"/>
      <c r="G1238" s="9"/>
      <c r="H1238" s="8"/>
      <c r="I1238" s="8"/>
      <c r="J1238" s="8"/>
      <c r="K1238" s="8"/>
      <c r="L1238" s="8"/>
      <c r="M1238" s="8"/>
      <c r="N1238" s="8"/>
      <c r="O1238" s="8"/>
      <c r="P1238" s="8"/>
    </row>
    <row r="1239" spans="1:16" ht="22.5" customHeight="1" x14ac:dyDescent="0.35">
      <c r="A1239" s="25"/>
      <c r="C1239" s="121"/>
      <c r="D1239" s="8"/>
      <c r="E1239" s="8"/>
      <c r="F1239" s="8"/>
      <c r="G1239" s="9"/>
      <c r="H1239" s="8"/>
      <c r="I1239" s="8"/>
      <c r="J1239" s="8"/>
      <c r="K1239" s="8"/>
      <c r="L1239" s="8"/>
      <c r="M1239" s="8"/>
      <c r="N1239" s="8"/>
      <c r="O1239" s="8"/>
      <c r="P1239" s="8"/>
    </row>
    <row r="1240" spans="1:16" ht="22.5" customHeight="1" x14ac:dyDescent="0.35">
      <c r="A1240" s="25"/>
      <c r="C1240" s="121"/>
      <c r="D1240" s="8"/>
      <c r="E1240" s="8"/>
      <c r="F1240" s="8"/>
      <c r="G1240" s="9"/>
      <c r="H1240" s="8"/>
      <c r="I1240" s="8"/>
      <c r="J1240" s="8"/>
      <c r="K1240" s="8"/>
      <c r="L1240" s="8"/>
      <c r="M1240" s="8"/>
      <c r="N1240" s="8"/>
      <c r="O1240" s="8"/>
      <c r="P1240" s="8"/>
    </row>
    <row r="1241" spans="1:16" ht="22.5" customHeight="1" x14ac:dyDescent="0.35">
      <c r="A1241" s="25"/>
      <c r="C1241" s="121"/>
      <c r="D1241" s="8"/>
      <c r="E1241" s="8"/>
      <c r="F1241" s="8"/>
      <c r="G1241" s="9"/>
      <c r="H1241" s="8"/>
      <c r="I1241" s="8"/>
      <c r="J1241" s="8"/>
      <c r="K1241" s="8"/>
      <c r="L1241" s="8"/>
      <c r="M1241" s="8"/>
      <c r="N1241" s="8"/>
      <c r="O1241" s="8"/>
      <c r="P1241" s="8"/>
    </row>
    <row r="1242" spans="1:16" ht="22.5" customHeight="1" x14ac:dyDescent="0.35">
      <c r="A1242" s="25"/>
      <c r="C1242" s="121"/>
      <c r="D1242" s="8"/>
      <c r="E1242" s="8"/>
      <c r="F1242" s="8"/>
      <c r="G1242" s="9"/>
      <c r="H1242" s="8"/>
      <c r="I1242" s="8"/>
      <c r="J1242" s="8"/>
      <c r="K1242" s="8"/>
      <c r="L1242" s="8"/>
      <c r="M1242" s="8"/>
      <c r="N1242" s="8"/>
      <c r="O1242" s="8"/>
      <c r="P1242" s="8"/>
    </row>
    <row r="1243" spans="1:16" ht="22.5" customHeight="1" x14ac:dyDescent="0.35">
      <c r="A1243" s="25"/>
      <c r="C1243" s="121"/>
      <c r="D1243" s="8"/>
      <c r="E1243" s="8"/>
      <c r="F1243" s="8"/>
      <c r="G1243" s="9"/>
      <c r="H1243" s="8"/>
      <c r="I1243" s="8"/>
      <c r="J1243" s="8"/>
      <c r="K1243" s="8"/>
      <c r="L1243" s="8"/>
      <c r="M1243" s="8"/>
      <c r="N1243" s="8"/>
      <c r="O1243" s="8"/>
      <c r="P1243" s="8"/>
    </row>
    <row r="1244" spans="1:16" ht="22.5" customHeight="1" x14ac:dyDescent="0.35">
      <c r="A1244" s="25"/>
      <c r="C1244" s="121"/>
      <c r="D1244" s="8"/>
      <c r="E1244" s="8"/>
      <c r="F1244" s="8"/>
      <c r="G1244" s="9"/>
      <c r="H1244" s="8"/>
      <c r="I1244" s="8"/>
      <c r="J1244" s="8"/>
      <c r="K1244" s="8"/>
      <c r="L1244" s="8"/>
      <c r="M1244" s="8"/>
      <c r="N1244" s="8"/>
      <c r="O1244" s="8"/>
      <c r="P1244" s="8"/>
    </row>
    <row r="1245" spans="1:16" ht="22.5" customHeight="1" x14ac:dyDescent="0.35">
      <c r="A1245" s="25"/>
      <c r="C1245" s="121"/>
      <c r="D1245" s="8"/>
      <c r="E1245" s="8"/>
      <c r="F1245" s="8"/>
      <c r="G1245" s="9"/>
      <c r="H1245" s="8"/>
      <c r="I1245" s="8"/>
      <c r="J1245" s="8"/>
      <c r="K1245" s="8"/>
      <c r="L1245" s="8"/>
      <c r="M1245" s="8"/>
      <c r="N1245" s="8"/>
      <c r="O1245" s="8"/>
      <c r="P1245" s="8"/>
    </row>
    <row r="1246" spans="1:16" ht="22.5" customHeight="1" x14ac:dyDescent="0.35">
      <c r="A1246" s="25"/>
      <c r="C1246" s="121"/>
      <c r="D1246" s="8"/>
      <c r="E1246" s="8"/>
      <c r="F1246" s="8"/>
      <c r="G1246" s="9"/>
      <c r="H1246" s="8"/>
      <c r="I1246" s="8"/>
      <c r="J1246" s="8"/>
      <c r="K1246" s="8"/>
      <c r="L1246" s="8"/>
      <c r="M1246" s="8"/>
      <c r="N1246" s="8"/>
      <c r="O1246" s="8"/>
      <c r="P1246" s="8"/>
    </row>
    <row r="1247" spans="1:16" ht="22.5" customHeight="1" x14ac:dyDescent="0.35">
      <c r="A1247" s="25"/>
      <c r="C1247" s="121"/>
      <c r="D1247" s="8"/>
      <c r="E1247" s="8"/>
      <c r="F1247" s="8"/>
      <c r="G1247" s="9"/>
      <c r="H1247" s="8"/>
      <c r="I1247" s="8"/>
      <c r="J1247" s="8"/>
      <c r="K1247" s="8"/>
      <c r="L1247" s="8"/>
      <c r="M1247" s="8"/>
      <c r="N1247" s="8"/>
      <c r="O1247" s="8"/>
      <c r="P1247" s="8"/>
    </row>
    <row r="1248" spans="1:16" ht="22.5" customHeight="1" x14ac:dyDescent="0.35">
      <c r="A1248" s="25"/>
      <c r="C1248" s="121"/>
      <c r="D1248" s="8"/>
      <c r="E1248" s="8"/>
      <c r="F1248" s="8"/>
      <c r="G1248" s="9"/>
      <c r="H1248" s="8"/>
      <c r="I1248" s="8"/>
      <c r="J1248" s="8"/>
      <c r="K1248" s="8"/>
      <c r="L1248" s="8"/>
      <c r="M1248" s="8"/>
      <c r="N1248" s="8"/>
      <c r="O1248" s="8"/>
      <c r="P1248" s="8"/>
    </row>
    <row r="1249" spans="1:16" ht="22.5" customHeight="1" x14ac:dyDescent="0.35">
      <c r="A1249" s="25"/>
      <c r="C1249" s="121"/>
      <c r="D1249" s="8"/>
      <c r="E1249" s="8"/>
      <c r="F1249" s="8"/>
      <c r="G1249" s="9"/>
      <c r="H1249" s="8"/>
      <c r="I1249" s="8"/>
      <c r="J1249" s="8"/>
      <c r="K1249" s="8"/>
      <c r="L1249" s="8"/>
      <c r="M1249" s="8"/>
      <c r="N1249" s="8"/>
      <c r="O1249" s="8"/>
      <c r="P1249" s="8"/>
    </row>
    <row r="1250" spans="1:16" ht="22.5" customHeight="1" x14ac:dyDescent="0.35">
      <c r="A1250" s="25"/>
      <c r="C1250" s="121"/>
      <c r="D1250" s="8"/>
      <c r="E1250" s="8"/>
      <c r="F1250" s="8"/>
      <c r="G1250" s="9"/>
      <c r="H1250" s="8"/>
      <c r="I1250" s="8"/>
      <c r="J1250" s="8"/>
      <c r="K1250" s="8"/>
      <c r="L1250" s="8"/>
      <c r="M1250" s="8"/>
      <c r="N1250" s="8"/>
      <c r="O1250" s="8"/>
      <c r="P1250" s="8"/>
    </row>
    <row r="1251" spans="1:16" ht="22.5" customHeight="1" x14ac:dyDescent="0.35">
      <c r="A1251" s="25"/>
      <c r="C1251" s="121"/>
      <c r="D1251" s="8"/>
      <c r="E1251" s="8"/>
      <c r="F1251" s="8"/>
      <c r="G1251" s="9"/>
      <c r="H1251" s="8"/>
      <c r="I1251" s="8"/>
      <c r="J1251" s="8"/>
      <c r="K1251" s="8"/>
      <c r="L1251" s="8"/>
      <c r="M1251" s="8"/>
      <c r="N1251" s="8"/>
      <c r="O1251" s="8"/>
      <c r="P1251" s="8"/>
    </row>
    <row r="1252" spans="1:16" ht="22.5" customHeight="1" x14ac:dyDescent="0.35">
      <c r="A1252" s="25"/>
      <c r="C1252" s="121"/>
      <c r="D1252" s="8"/>
      <c r="E1252" s="8"/>
      <c r="F1252" s="8"/>
      <c r="G1252" s="9"/>
      <c r="H1252" s="8"/>
      <c r="I1252" s="8"/>
      <c r="J1252" s="8"/>
      <c r="K1252" s="8"/>
      <c r="L1252" s="8"/>
      <c r="M1252" s="8"/>
      <c r="N1252" s="8"/>
      <c r="O1252" s="8"/>
      <c r="P1252" s="8"/>
    </row>
    <row r="1253" spans="1:16" ht="22.5" customHeight="1" x14ac:dyDescent="0.35">
      <c r="A1253" s="25"/>
      <c r="C1253" s="121"/>
      <c r="D1253" s="8"/>
      <c r="E1253" s="8"/>
      <c r="F1253" s="8"/>
      <c r="G1253" s="9"/>
      <c r="H1253" s="8"/>
      <c r="I1253" s="8"/>
      <c r="J1253" s="8"/>
      <c r="K1253" s="8"/>
      <c r="L1253" s="8"/>
      <c r="M1253" s="8"/>
      <c r="N1253" s="8"/>
      <c r="O1253" s="8"/>
      <c r="P1253" s="8"/>
    </row>
    <row r="1254" spans="1:16" ht="22.5" customHeight="1" x14ac:dyDescent="0.35">
      <c r="A1254" s="25"/>
      <c r="C1254" s="121"/>
      <c r="D1254" s="8"/>
      <c r="E1254" s="8"/>
      <c r="F1254" s="8"/>
      <c r="G1254" s="9"/>
      <c r="H1254" s="8"/>
      <c r="I1254" s="8"/>
      <c r="J1254" s="8"/>
      <c r="K1254" s="8"/>
      <c r="L1254" s="8"/>
      <c r="M1254" s="8"/>
      <c r="N1254" s="8"/>
      <c r="O1254" s="8"/>
      <c r="P1254" s="8"/>
    </row>
    <row r="1255" spans="1:16" ht="22.5" customHeight="1" x14ac:dyDescent="0.35">
      <c r="A1255" s="25"/>
      <c r="C1255" s="121"/>
      <c r="D1255" s="8"/>
      <c r="E1255" s="8"/>
      <c r="F1255" s="8"/>
      <c r="G1255" s="9"/>
      <c r="H1255" s="8"/>
      <c r="I1255" s="8"/>
      <c r="J1255" s="8"/>
      <c r="K1255" s="8"/>
      <c r="L1255" s="8"/>
      <c r="M1255" s="8"/>
      <c r="N1255" s="8"/>
      <c r="O1255" s="8"/>
      <c r="P1255" s="8"/>
    </row>
    <row r="1256" spans="1:16" ht="22.5" customHeight="1" x14ac:dyDescent="0.35">
      <c r="A1256" s="25"/>
      <c r="C1256" s="121"/>
      <c r="D1256" s="8"/>
      <c r="E1256" s="8"/>
      <c r="F1256" s="8"/>
      <c r="G1256" s="9"/>
      <c r="H1256" s="8"/>
      <c r="I1256" s="8"/>
      <c r="J1256" s="8"/>
      <c r="K1256" s="8"/>
      <c r="L1256" s="8"/>
      <c r="M1256" s="8"/>
      <c r="N1256" s="8"/>
      <c r="O1256" s="8"/>
      <c r="P1256" s="8"/>
    </row>
    <row r="1257" spans="1:16" ht="22.5" customHeight="1" x14ac:dyDescent="0.35">
      <c r="A1257" s="25"/>
      <c r="C1257" s="121"/>
      <c r="D1257" s="8"/>
      <c r="E1257" s="8"/>
      <c r="F1257" s="8"/>
      <c r="G1257" s="9"/>
      <c r="H1257" s="8"/>
      <c r="I1257" s="8"/>
      <c r="J1257" s="8"/>
      <c r="K1257" s="8"/>
      <c r="L1257" s="8"/>
      <c r="M1257" s="8"/>
      <c r="N1257" s="8"/>
      <c r="O1257" s="8"/>
      <c r="P1257" s="8"/>
    </row>
    <row r="1258" spans="1:16" ht="22.5" customHeight="1" x14ac:dyDescent="0.35">
      <c r="A1258" s="25"/>
      <c r="C1258" s="121"/>
      <c r="D1258" s="8"/>
      <c r="E1258" s="8"/>
      <c r="F1258" s="8"/>
      <c r="G1258" s="9"/>
      <c r="H1258" s="8"/>
      <c r="I1258" s="8"/>
      <c r="J1258" s="8"/>
      <c r="K1258" s="8"/>
      <c r="L1258" s="8"/>
      <c r="M1258" s="8"/>
      <c r="N1258" s="8"/>
      <c r="O1258" s="8"/>
      <c r="P1258" s="8"/>
    </row>
    <row r="1259" spans="1:16" ht="22.5" customHeight="1" x14ac:dyDescent="0.35">
      <c r="A1259" s="25"/>
      <c r="C1259" s="121"/>
      <c r="D1259" s="8"/>
      <c r="E1259" s="8"/>
      <c r="F1259" s="8"/>
      <c r="G1259" s="9"/>
      <c r="H1259" s="8"/>
      <c r="I1259" s="8"/>
      <c r="J1259" s="8"/>
      <c r="K1259" s="8"/>
      <c r="L1259" s="8"/>
      <c r="M1259" s="8"/>
      <c r="N1259" s="8"/>
      <c r="O1259" s="8"/>
      <c r="P1259" s="8"/>
    </row>
    <row r="1260" spans="1:16" ht="22.5" customHeight="1" x14ac:dyDescent="0.35">
      <c r="A1260" s="25"/>
      <c r="C1260" s="121"/>
      <c r="D1260" s="8"/>
      <c r="E1260" s="8"/>
      <c r="F1260" s="8"/>
      <c r="G1260" s="9"/>
      <c r="H1260" s="8"/>
      <c r="I1260" s="8"/>
      <c r="J1260" s="8"/>
      <c r="K1260" s="8"/>
      <c r="L1260" s="8"/>
      <c r="M1260" s="8"/>
      <c r="N1260" s="8"/>
      <c r="O1260" s="8"/>
      <c r="P1260" s="8"/>
    </row>
    <row r="1261" spans="1:16" ht="22.5" customHeight="1" x14ac:dyDescent="0.35">
      <c r="A1261" s="25"/>
      <c r="C1261" s="121"/>
      <c r="D1261" s="8"/>
      <c r="E1261" s="8"/>
      <c r="F1261" s="8"/>
      <c r="G1261" s="9"/>
      <c r="H1261" s="8"/>
      <c r="I1261" s="8"/>
      <c r="J1261" s="8"/>
      <c r="K1261" s="8"/>
      <c r="L1261" s="8"/>
      <c r="M1261" s="8"/>
      <c r="N1261" s="8"/>
      <c r="O1261" s="8"/>
      <c r="P1261" s="8"/>
    </row>
    <row r="1262" spans="1:16" ht="22.5" customHeight="1" x14ac:dyDescent="0.35">
      <c r="A1262" s="25"/>
      <c r="C1262" s="121"/>
      <c r="D1262" s="8"/>
      <c r="E1262" s="8"/>
      <c r="F1262" s="8"/>
      <c r="G1262" s="9"/>
      <c r="H1262" s="8"/>
      <c r="I1262" s="8"/>
      <c r="J1262" s="8"/>
      <c r="K1262" s="8"/>
      <c r="L1262" s="8"/>
      <c r="M1262" s="8"/>
      <c r="N1262" s="8"/>
      <c r="O1262" s="8"/>
      <c r="P1262" s="8"/>
    </row>
    <row r="1263" spans="1:16" ht="22.5" customHeight="1" x14ac:dyDescent="0.35">
      <c r="A1263" s="25"/>
      <c r="C1263" s="121"/>
      <c r="D1263" s="8"/>
      <c r="E1263" s="8"/>
      <c r="F1263" s="8"/>
      <c r="G1263" s="9"/>
      <c r="H1263" s="8"/>
      <c r="I1263" s="8"/>
      <c r="J1263" s="8"/>
      <c r="K1263" s="8"/>
      <c r="L1263" s="8"/>
      <c r="M1263" s="8"/>
      <c r="N1263" s="8"/>
      <c r="O1263" s="8"/>
      <c r="P1263" s="8"/>
    </row>
    <row r="1264" spans="1:16" ht="22.5" customHeight="1" x14ac:dyDescent="0.35">
      <c r="A1264" s="25"/>
      <c r="C1264" s="121"/>
      <c r="D1264" s="8"/>
      <c r="E1264" s="8"/>
      <c r="F1264" s="8"/>
      <c r="G1264" s="9"/>
      <c r="H1264" s="8"/>
      <c r="I1264" s="8"/>
      <c r="J1264" s="8"/>
      <c r="K1264" s="8"/>
      <c r="L1264" s="8"/>
      <c r="M1264" s="8"/>
      <c r="N1264" s="8"/>
      <c r="O1264" s="8"/>
      <c r="P1264" s="8"/>
    </row>
    <row r="1265" spans="1:16" ht="22.5" customHeight="1" x14ac:dyDescent="0.35">
      <c r="A1265" s="25"/>
      <c r="C1265" s="121"/>
      <c r="D1265" s="8"/>
      <c r="E1265" s="8"/>
      <c r="F1265" s="8"/>
      <c r="G1265" s="9"/>
      <c r="H1265" s="8"/>
      <c r="I1265" s="8"/>
      <c r="J1265" s="8"/>
      <c r="K1265" s="8"/>
      <c r="L1265" s="8"/>
      <c r="M1265" s="8"/>
      <c r="N1265" s="8"/>
      <c r="O1265" s="8"/>
      <c r="P1265" s="8"/>
    </row>
    <row r="1266" spans="1:16" ht="22.5" customHeight="1" x14ac:dyDescent="0.35">
      <c r="A1266" s="25"/>
      <c r="C1266" s="121"/>
      <c r="D1266" s="8"/>
      <c r="E1266" s="8"/>
      <c r="F1266" s="8"/>
      <c r="G1266" s="9"/>
      <c r="H1266" s="8"/>
      <c r="I1266" s="8"/>
      <c r="J1266" s="8"/>
      <c r="K1266" s="8"/>
      <c r="L1266" s="8"/>
      <c r="M1266" s="8"/>
      <c r="N1266" s="8"/>
      <c r="O1266" s="8"/>
      <c r="P1266" s="8"/>
    </row>
    <row r="1267" spans="1:16" ht="22.5" customHeight="1" x14ac:dyDescent="0.35">
      <c r="A1267" s="25"/>
      <c r="C1267" s="121"/>
      <c r="D1267" s="8"/>
      <c r="E1267" s="8"/>
      <c r="F1267" s="8"/>
      <c r="G1267" s="9"/>
      <c r="H1267" s="8"/>
      <c r="I1267" s="8"/>
      <c r="J1267" s="8"/>
      <c r="K1267" s="8"/>
      <c r="L1267" s="8"/>
      <c r="M1267" s="8"/>
      <c r="N1267" s="8"/>
      <c r="O1267" s="8"/>
      <c r="P1267" s="8"/>
    </row>
    <row r="1268" spans="1:16" ht="22.5" customHeight="1" x14ac:dyDescent="0.35">
      <c r="A1268" s="25"/>
      <c r="C1268" s="121"/>
      <c r="D1268" s="8"/>
      <c r="E1268" s="8"/>
      <c r="F1268" s="8"/>
      <c r="G1268" s="9"/>
      <c r="H1268" s="8"/>
      <c r="I1268" s="8"/>
      <c r="J1268" s="8"/>
      <c r="K1268" s="8"/>
      <c r="L1268" s="8"/>
      <c r="M1268" s="8"/>
      <c r="N1268" s="8"/>
      <c r="O1268" s="8"/>
      <c r="P1268" s="8"/>
    </row>
    <row r="1269" spans="1:16" ht="22.5" customHeight="1" x14ac:dyDescent="0.35">
      <c r="A1269" s="25"/>
      <c r="C1269" s="121"/>
      <c r="D1269" s="8"/>
      <c r="E1269" s="8"/>
      <c r="F1269" s="8"/>
      <c r="G1269" s="9"/>
      <c r="H1269" s="8"/>
      <c r="I1269" s="8"/>
      <c r="J1269" s="8"/>
      <c r="K1269" s="8"/>
      <c r="L1269" s="8"/>
      <c r="M1269" s="8"/>
      <c r="N1269" s="8"/>
      <c r="O1269" s="8"/>
      <c r="P1269" s="8"/>
    </row>
    <row r="1270" spans="1:16" ht="22.5" customHeight="1" x14ac:dyDescent="0.35">
      <c r="A1270" s="25"/>
      <c r="C1270" s="121"/>
      <c r="D1270" s="8"/>
      <c r="E1270" s="8"/>
      <c r="F1270" s="8"/>
      <c r="G1270" s="9"/>
      <c r="H1270" s="8"/>
      <c r="I1270" s="8"/>
      <c r="J1270" s="8"/>
      <c r="K1270" s="8"/>
      <c r="L1270" s="8"/>
      <c r="M1270" s="8"/>
      <c r="N1270" s="8"/>
      <c r="O1270" s="8"/>
      <c r="P1270" s="8"/>
    </row>
    <row r="1271" spans="1:16" ht="22.5" customHeight="1" x14ac:dyDescent="0.35">
      <c r="A1271" s="25"/>
      <c r="C1271" s="121"/>
      <c r="D1271" s="8"/>
      <c r="E1271" s="8"/>
      <c r="F1271" s="8"/>
      <c r="G1271" s="9"/>
      <c r="H1271" s="8"/>
      <c r="I1271" s="8"/>
      <c r="J1271" s="8"/>
      <c r="K1271" s="8"/>
      <c r="L1271" s="8"/>
      <c r="M1271" s="8"/>
      <c r="N1271" s="8"/>
      <c r="O1271" s="8"/>
      <c r="P1271" s="8"/>
    </row>
    <row r="1272" spans="1:16" ht="22.5" customHeight="1" x14ac:dyDescent="0.35">
      <c r="A1272" s="25"/>
      <c r="C1272" s="121"/>
      <c r="D1272" s="8"/>
      <c r="E1272" s="8"/>
      <c r="F1272" s="8"/>
      <c r="G1272" s="9"/>
      <c r="H1272" s="8"/>
      <c r="I1272" s="8"/>
      <c r="J1272" s="8"/>
      <c r="K1272" s="8"/>
      <c r="L1272" s="8"/>
      <c r="M1272" s="8"/>
      <c r="N1272" s="8"/>
      <c r="O1272" s="8"/>
      <c r="P1272" s="8"/>
    </row>
    <row r="1273" spans="1:16" ht="22.5" customHeight="1" x14ac:dyDescent="0.35">
      <c r="A1273" s="25"/>
      <c r="C1273" s="121"/>
      <c r="D1273" s="8"/>
      <c r="E1273" s="8"/>
      <c r="F1273" s="8"/>
      <c r="G1273" s="9"/>
      <c r="H1273" s="8"/>
      <c r="I1273" s="8"/>
      <c r="J1273" s="8"/>
      <c r="K1273" s="8"/>
      <c r="L1273" s="8"/>
      <c r="M1273" s="8"/>
      <c r="N1273" s="8"/>
      <c r="O1273" s="8"/>
      <c r="P1273" s="8"/>
    </row>
    <row r="1274" spans="1:16" ht="22.5" customHeight="1" x14ac:dyDescent="0.35">
      <c r="A1274" s="25"/>
      <c r="C1274" s="121"/>
      <c r="D1274" s="8"/>
      <c r="E1274" s="8"/>
      <c r="F1274" s="8"/>
      <c r="G1274" s="9"/>
      <c r="H1274" s="8"/>
      <c r="I1274" s="8"/>
      <c r="J1274" s="8"/>
      <c r="K1274" s="8"/>
      <c r="L1274" s="8"/>
      <c r="M1274" s="8"/>
      <c r="N1274" s="8"/>
      <c r="O1274" s="8"/>
      <c r="P1274" s="8"/>
    </row>
    <row r="1275" spans="1:16" ht="22.5" customHeight="1" x14ac:dyDescent="0.35">
      <c r="A1275" s="25"/>
      <c r="C1275" s="121"/>
      <c r="D1275" s="8"/>
      <c r="E1275" s="8"/>
      <c r="F1275" s="8"/>
      <c r="G1275" s="9"/>
      <c r="H1275" s="8"/>
      <c r="I1275" s="8"/>
      <c r="J1275" s="8"/>
      <c r="K1275" s="8"/>
      <c r="L1275" s="8"/>
      <c r="M1275" s="8"/>
      <c r="N1275" s="8"/>
      <c r="O1275" s="8"/>
      <c r="P1275" s="8"/>
    </row>
    <row r="1276" spans="1:16" ht="22.5" customHeight="1" x14ac:dyDescent="0.35">
      <c r="A1276" s="25"/>
      <c r="C1276" s="121"/>
      <c r="D1276" s="8"/>
      <c r="E1276" s="8"/>
      <c r="F1276" s="8"/>
      <c r="G1276" s="9"/>
      <c r="H1276" s="8"/>
      <c r="I1276" s="8"/>
      <c r="J1276" s="8"/>
      <c r="K1276" s="8"/>
      <c r="L1276" s="8"/>
      <c r="M1276" s="8"/>
      <c r="N1276" s="8"/>
      <c r="O1276" s="8"/>
      <c r="P1276" s="8"/>
    </row>
    <row r="1277" spans="1:16" ht="22.5" customHeight="1" x14ac:dyDescent="0.35">
      <c r="A1277" s="25"/>
      <c r="C1277" s="121"/>
      <c r="D1277" s="8"/>
      <c r="E1277" s="8"/>
      <c r="F1277" s="8"/>
      <c r="G1277" s="9"/>
      <c r="H1277" s="8"/>
      <c r="I1277" s="8"/>
      <c r="J1277" s="8"/>
      <c r="K1277" s="8"/>
      <c r="L1277" s="8"/>
      <c r="M1277" s="8"/>
      <c r="N1277" s="8"/>
      <c r="O1277" s="8"/>
      <c r="P1277" s="8"/>
    </row>
    <row r="1278" spans="1:16" ht="22.5" customHeight="1" x14ac:dyDescent="0.35">
      <c r="A1278" s="25"/>
      <c r="C1278" s="121"/>
      <c r="D1278" s="8"/>
      <c r="E1278" s="8"/>
      <c r="F1278" s="8"/>
      <c r="G1278" s="9"/>
      <c r="H1278" s="8"/>
      <c r="I1278" s="8"/>
      <c r="J1278" s="8"/>
      <c r="K1278" s="8"/>
      <c r="L1278" s="8"/>
      <c r="M1278" s="8"/>
      <c r="N1278" s="8"/>
      <c r="O1278" s="8"/>
      <c r="P1278" s="8"/>
    </row>
    <row r="1279" spans="1:16" ht="22.5" customHeight="1" x14ac:dyDescent="0.35">
      <c r="A1279" s="25"/>
      <c r="C1279" s="121"/>
      <c r="D1279" s="8"/>
      <c r="E1279" s="8"/>
      <c r="F1279" s="8"/>
      <c r="G1279" s="9"/>
      <c r="H1279" s="8"/>
      <c r="I1279" s="8"/>
      <c r="J1279" s="8"/>
      <c r="K1279" s="8"/>
      <c r="L1279" s="8"/>
      <c r="M1279" s="8"/>
      <c r="N1279" s="8"/>
      <c r="O1279" s="8"/>
      <c r="P1279" s="8"/>
    </row>
    <row r="1280" spans="1:16" ht="22.5" customHeight="1" x14ac:dyDescent="0.35">
      <c r="A1280" s="25"/>
      <c r="C1280" s="121"/>
      <c r="D1280" s="8"/>
      <c r="E1280" s="8"/>
      <c r="F1280" s="8"/>
      <c r="G1280" s="9"/>
      <c r="H1280" s="8"/>
      <c r="I1280" s="8"/>
      <c r="J1280" s="8"/>
      <c r="K1280" s="8"/>
      <c r="L1280" s="8"/>
      <c r="M1280" s="8"/>
      <c r="N1280" s="8"/>
      <c r="O1280" s="8"/>
      <c r="P1280" s="8"/>
    </row>
    <row r="1281" spans="1:16" ht="22.5" customHeight="1" x14ac:dyDescent="0.35">
      <c r="A1281" s="25"/>
      <c r="C1281" s="121"/>
      <c r="D1281" s="8"/>
      <c r="E1281" s="8"/>
      <c r="F1281" s="8"/>
      <c r="G1281" s="9"/>
      <c r="H1281" s="8"/>
      <c r="I1281" s="8"/>
      <c r="J1281" s="8"/>
      <c r="K1281" s="8"/>
      <c r="L1281" s="8"/>
      <c r="M1281" s="8"/>
      <c r="N1281" s="8"/>
      <c r="O1281" s="8"/>
      <c r="P1281" s="8"/>
    </row>
    <row r="1282" spans="1:16" ht="22.5" customHeight="1" x14ac:dyDescent="0.35">
      <c r="A1282" s="25"/>
      <c r="C1282" s="121"/>
      <c r="D1282" s="8"/>
      <c r="E1282" s="8"/>
      <c r="F1282" s="8"/>
      <c r="G1282" s="9"/>
      <c r="H1282" s="8"/>
      <c r="I1282" s="8"/>
      <c r="J1282" s="8"/>
      <c r="K1282" s="8"/>
      <c r="L1282" s="8"/>
      <c r="M1282" s="8"/>
      <c r="N1282" s="8"/>
      <c r="O1282" s="8"/>
      <c r="P1282" s="8"/>
    </row>
    <row r="1283" spans="1:16" ht="22.5" customHeight="1" x14ac:dyDescent="0.35">
      <c r="A1283" s="25"/>
      <c r="C1283" s="121"/>
      <c r="D1283" s="8"/>
      <c r="E1283" s="8"/>
      <c r="F1283" s="8"/>
      <c r="G1283" s="9"/>
      <c r="H1283" s="8"/>
      <c r="I1283" s="8"/>
      <c r="J1283" s="8"/>
      <c r="K1283" s="8"/>
      <c r="L1283" s="8"/>
      <c r="M1283" s="8"/>
      <c r="N1283" s="8"/>
      <c r="O1283" s="8"/>
      <c r="P1283" s="8"/>
    </row>
    <row r="1284" spans="1:16" ht="22.5" customHeight="1" x14ac:dyDescent="0.35">
      <c r="A1284" s="25"/>
      <c r="C1284" s="121"/>
      <c r="D1284" s="8"/>
      <c r="E1284" s="8"/>
      <c r="F1284" s="8"/>
      <c r="G1284" s="9"/>
      <c r="H1284" s="8"/>
      <c r="I1284" s="8"/>
      <c r="J1284" s="8"/>
      <c r="K1284" s="8"/>
      <c r="L1284" s="8"/>
      <c r="M1284" s="8"/>
      <c r="N1284" s="8"/>
      <c r="O1284" s="8"/>
      <c r="P1284" s="8"/>
    </row>
    <row r="1285" spans="1:16" ht="22.5" customHeight="1" x14ac:dyDescent="0.35">
      <c r="A1285" s="25"/>
      <c r="C1285" s="121"/>
      <c r="D1285" s="8"/>
      <c r="E1285" s="8"/>
      <c r="F1285" s="8"/>
      <c r="G1285" s="9"/>
      <c r="H1285" s="8"/>
      <c r="I1285" s="8"/>
      <c r="J1285" s="8"/>
      <c r="K1285" s="8"/>
      <c r="L1285" s="8"/>
      <c r="M1285" s="8"/>
      <c r="N1285" s="8"/>
      <c r="O1285" s="8"/>
      <c r="P1285" s="8"/>
    </row>
    <row r="1286" spans="1:16" ht="22.5" customHeight="1" x14ac:dyDescent="0.35">
      <c r="A1286" s="25"/>
      <c r="C1286" s="121"/>
      <c r="D1286" s="8"/>
      <c r="E1286" s="8"/>
      <c r="F1286" s="8"/>
      <c r="G1286" s="9"/>
      <c r="H1286" s="8"/>
      <c r="I1286" s="8"/>
      <c r="J1286" s="8"/>
      <c r="K1286" s="8"/>
      <c r="L1286" s="8"/>
      <c r="M1286" s="8"/>
      <c r="N1286" s="8"/>
      <c r="O1286" s="8"/>
      <c r="P1286" s="8"/>
    </row>
    <row r="1287" spans="1:16" ht="22.5" customHeight="1" x14ac:dyDescent="0.35">
      <c r="A1287" s="25"/>
      <c r="C1287" s="121"/>
      <c r="D1287" s="8"/>
      <c r="E1287" s="8"/>
      <c r="F1287" s="8"/>
      <c r="G1287" s="9"/>
      <c r="H1287" s="8"/>
      <c r="I1287" s="8"/>
      <c r="J1287" s="8"/>
      <c r="K1287" s="8"/>
      <c r="L1287" s="8"/>
      <c r="M1287" s="8"/>
      <c r="N1287" s="8"/>
      <c r="O1287" s="8"/>
      <c r="P1287" s="8"/>
    </row>
    <row r="1288" spans="1:16" ht="22.5" customHeight="1" x14ac:dyDescent="0.35">
      <c r="A1288" s="25"/>
      <c r="C1288" s="121"/>
      <c r="D1288" s="8"/>
      <c r="E1288" s="8"/>
      <c r="F1288" s="8"/>
      <c r="G1288" s="9"/>
      <c r="H1288" s="8"/>
      <c r="I1288" s="8"/>
      <c r="J1288" s="8"/>
      <c r="K1288" s="8"/>
      <c r="L1288" s="8"/>
      <c r="M1288" s="8"/>
      <c r="N1288" s="8"/>
      <c r="O1288" s="8"/>
      <c r="P1288" s="8"/>
    </row>
    <row r="1289" spans="1:16" ht="22.5" customHeight="1" x14ac:dyDescent="0.35">
      <c r="A1289" s="25"/>
      <c r="C1289" s="121"/>
      <c r="D1289" s="8"/>
      <c r="E1289" s="8"/>
      <c r="F1289" s="8"/>
      <c r="G1289" s="9"/>
      <c r="H1289" s="8"/>
      <c r="I1289" s="8"/>
      <c r="J1289" s="8"/>
      <c r="K1289" s="8"/>
      <c r="L1289" s="8"/>
      <c r="M1289" s="8"/>
      <c r="N1289" s="8"/>
      <c r="O1289" s="8"/>
      <c r="P1289" s="8"/>
    </row>
    <row r="1290" spans="1:16" ht="22.5" customHeight="1" x14ac:dyDescent="0.35">
      <c r="A1290" s="25"/>
      <c r="C1290" s="121"/>
      <c r="D1290" s="8"/>
      <c r="E1290" s="8"/>
      <c r="F1290" s="8"/>
      <c r="G1290" s="9"/>
      <c r="H1290" s="8"/>
      <c r="I1290" s="8"/>
      <c r="J1290" s="8"/>
      <c r="K1290" s="8"/>
      <c r="L1290" s="8"/>
      <c r="M1290" s="8"/>
      <c r="N1290" s="8"/>
      <c r="O1290" s="8"/>
      <c r="P1290" s="8"/>
    </row>
    <row r="1291" spans="1:16" ht="22.5" customHeight="1" x14ac:dyDescent="0.35">
      <c r="A1291" s="25"/>
      <c r="C1291" s="121"/>
      <c r="D1291" s="8"/>
      <c r="E1291" s="8"/>
      <c r="F1291" s="8"/>
      <c r="G1291" s="9"/>
      <c r="H1291" s="8"/>
      <c r="I1291" s="8"/>
      <c r="J1291" s="8"/>
      <c r="K1291" s="8"/>
      <c r="L1291" s="8"/>
      <c r="M1291" s="8"/>
      <c r="N1291" s="8"/>
      <c r="O1291" s="8"/>
      <c r="P1291" s="8"/>
    </row>
    <row r="1292" spans="1:16" ht="22.5" customHeight="1" x14ac:dyDescent="0.35">
      <c r="A1292" s="25"/>
      <c r="C1292" s="121"/>
      <c r="D1292" s="8"/>
      <c r="E1292" s="8"/>
      <c r="F1292" s="8"/>
      <c r="G1292" s="9"/>
      <c r="H1292" s="8"/>
      <c r="I1292" s="8"/>
      <c r="J1292" s="8"/>
      <c r="K1292" s="8"/>
      <c r="L1292" s="8"/>
      <c r="M1292" s="8"/>
      <c r="N1292" s="8"/>
      <c r="O1292" s="8"/>
      <c r="P1292" s="8"/>
    </row>
    <row r="1293" spans="1:16" ht="22.5" customHeight="1" x14ac:dyDescent="0.35">
      <c r="A1293" s="25"/>
      <c r="C1293" s="121"/>
      <c r="D1293" s="8"/>
      <c r="E1293" s="8"/>
      <c r="F1293" s="8"/>
      <c r="G1293" s="9"/>
      <c r="H1293" s="8"/>
      <c r="I1293" s="8"/>
      <c r="J1293" s="8"/>
      <c r="K1293" s="8"/>
      <c r="L1293" s="8"/>
      <c r="M1293" s="8"/>
      <c r="N1293" s="8"/>
      <c r="O1293" s="8"/>
      <c r="P1293" s="8"/>
    </row>
    <row r="1294" spans="1:16" ht="22.5" customHeight="1" x14ac:dyDescent="0.35">
      <c r="A1294" s="25"/>
      <c r="C1294" s="121"/>
      <c r="D1294" s="8"/>
      <c r="E1294" s="8"/>
      <c r="F1294" s="8"/>
      <c r="G1294" s="9"/>
      <c r="H1294" s="8"/>
      <c r="I1294" s="8"/>
      <c r="J1294" s="8"/>
      <c r="K1294" s="8"/>
      <c r="L1294" s="8"/>
      <c r="M1294" s="8"/>
      <c r="N1294" s="8"/>
      <c r="O1294" s="8"/>
      <c r="P1294" s="8"/>
    </row>
    <row r="1295" spans="1:16" ht="22.5" customHeight="1" x14ac:dyDescent="0.35">
      <c r="A1295" s="25"/>
      <c r="C1295" s="121"/>
      <c r="D1295" s="8"/>
      <c r="E1295" s="8"/>
      <c r="F1295" s="8"/>
      <c r="G1295" s="9"/>
      <c r="H1295" s="8"/>
      <c r="I1295" s="8"/>
      <c r="J1295" s="8"/>
      <c r="K1295" s="8"/>
      <c r="L1295" s="8"/>
      <c r="M1295" s="8"/>
      <c r="N1295" s="8"/>
      <c r="O1295" s="8"/>
      <c r="P1295" s="8"/>
    </row>
    <row r="1296" spans="1:16" ht="22.5" customHeight="1" x14ac:dyDescent="0.35">
      <c r="A1296" s="25"/>
      <c r="C1296" s="121"/>
      <c r="D1296" s="8"/>
      <c r="E1296" s="8"/>
      <c r="F1296" s="8"/>
      <c r="G1296" s="9"/>
      <c r="H1296" s="8"/>
      <c r="I1296" s="8"/>
      <c r="J1296" s="8"/>
      <c r="K1296" s="8"/>
      <c r="L1296" s="8"/>
      <c r="M1296" s="8"/>
      <c r="N1296" s="8"/>
      <c r="O1296" s="8"/>
      <c r="P1296" s="8"/>
    </row>
    <row r="1297" spans="1:16" ht="22.5" customHeight="1" x14ac:dyDescent="0.35">
      <c r="A1297" s="25"/>
      <c r="C1297" s="121"/>
      <c r="D1297" s="8"/>
      <c r="E1297" s="8"/>
      <c r="F1297" s="8"/>
      <c r="G1297" s="9"/>
      <c r="H1297" s="8"/>
      <c r="I1297" s="8"/>
      <c r="J1297" s="8"/>
      <c r="K1297" s="8"/>
      <c r="L1297" s="8"/>
      <c r="M1297" s="8"/>
      <c r="N1297" s="8"/>
      <c r="O1297" s="8"/>
      <c r="P1297" s="8"/>
    </row>
    <row r="1298" spans="1:16" ht="22.5" customHeight="1" x14ac:dyDescent="0.35">
      <c r="A1298" s="25"/>
      <c r="C1298" s="121"/>
      <c r="D1298" s="8"/>
      <c r="E1298" s="8"/>
      <c r="F1298" s="8"/>
      <c r="G1298" s="9"/>
      <c r="H1298" s="8"/>
      <c r="I1298" s="8"/>
      <c r="J1298" s="8"/>
      <c r="K1298" s="8"/>
      <c r="L1298" s="8"/>
      <c r="M1298" s="8"/>
      <c r="N1298" s="8"/>
      <c r="O1298" s="8"/>
      <c r="P1298" s="8"/>
    </row>
    <row r="1299" spans="1:16" ht="22.5" customHeight="1" x14ac:dyDescent="0.35">
      <c r="A1299" s="25"/>
      <c r="C1299" s="121"/>
      <c r="D1299" s="8"/>
      <c r="E1299" s="8"/>
      <c r="F1299" s="8"/>
      <c r="G1299" s="9"/>
      <c r="H1299" s="8"/>
      <c r="I1299" s="8"/>
      <c r="J1299" s="8"/>
      <c r="K1299" s="8"/>
      <c r="L1299" s="8"/>
      <c r="M1299" s="8"/>
      <c r="N1299" s="8"/>
      <c r="O1299" s="8"/>
      <c r="P1299" s="8"/>
    </row>
    <row r="1300" spans="1:16" ht="22.5" customHeight="1" x14ac:dyDescent="0.35">
      <c r="A1300" s="25"/>
      <c r="C1300" s="121"/>
      <c r="D1300" s="8"/>
      <c r="E1300" s="8"/>
      <c r="F1300" s="8"/>
      <c r="G1300" s="9"/>
      <c r="H1300" s="8"/>
      <c r="I1300" s="8"/>
      <c r="J1300" s="8"/>
      <c r="K1300" s="8"/>
      <c r="L1300" s="8"/>
      <c r="M1300" s="8"/>
      <c r="N1300" s="8"/>
      <c r="O1300" s="8"/>
      <c r="P1300" s="8"/>
    </row>
    <row r="1301" spans="1:16" ht="22.5" customHeight="1" x14ac:dyDescent="0.35">
      <c r="A1301" s="25"/>
      <c r="C1301" s="121"/>
      <c r="D1301" s="8"/>
      <c r="E1301" s="8"/>
      <c r="F1301" s="8"/>
      <c r="G1301" s="9"/>
      <c r="H1301" s="8"/>
      <c r="I1301" s="8"/>
      <c r="J1301" s="8"/>
      <c r="K1301" s="8"/>
      <c r="L1301" s="8"/>
      <c r="M1301" s="8"/>
      <c r="N1301" s="8"/>
      <c r="O1301" s="8"/>
      <c r="P1301" s="8"/>
    </row>
    <row r="1302" spans="1:16" ht="22.5" customHeight="1" x14ac:dyDescent="0.35">
      <c r="A1302" s="25"/>
      <c r="C1302" s="121"/>
      <c r="D1302" s="8"/>
      <c r="E1302" s="8"/>
      <c r="F1302" s="8"/>
      <c r="G1302" s="9"/>
      <c r="H1302" s="8"/>
      <c r="I1302" s="8"/>
      <c r="J1302" s="8"/>
      <c r="K1302" s="8"/>
      <c r="L1302" s="8"/>
      <c r="M1302" s="8"/>
      <c r="N1302" s="8"/>
      <c r="O1302" s="8"/>
      <c r="P1302" s="8"/>
    </row>
    <row r="1303" spans="1:16" ht="22.5" customHeight="1" x14ac:dyDescent="0.35">
      <c r="A1303" s="25"/>
      <c r="C1303" s="121"/>
      <c r="D1303" s="8"/>
      <c r="E1303" s="8"/>
      <c r="F1303" s="8"/>
      <c r="G1303" s="9"/>
      <c r="H1303" s="8"/>
      <c r="I1303" s="8"/>
      <c r="J1303" s="8"/>
      <c r="K1303" s="8"/>
      <c r="L1303" s="8"/>
      <c r="M1303" s="8"/>
      <c r="N1303" s="8"/>
      <c r="O1303" s="8"/>
      <c r="P1303" s="8"/>
    </row>
    <row r="1304" spans="1:16" ht="22.5" customHeight="1" x14ac:dyDescent="0.35">
      <c r="A1304" s="25"/>
      <c r="C1304" s="121"/>
      <c r="D1304" s="8"/>
      <c r="E1304" s="8"/>
      <c r="F1304" s="8"/>
      <c r="G1304" s="9"/>
      <c r="H1304" s="8"/>
      <c r="I1304" s="8"/>
      <c r="J1304" s="8"/>
      <c r="K1304" s="8"/>
      <c r="L1304" s="8"/>
      <c r="M1304" s="8"/>
      <c r="N1304" s="8"/>
      <c r="O1304" s="8"/>
      <c r="P1304" s="8"/>
    </row>
    <row r="1305" spans="1:16" ht="22.5" customHeight="1" x14ac:dyDescent="0.35">
      <c r="A1305" s="25"/>
      <c r="C1305" s="121"/>
      <c r="D1305" s="8"/>
      <c r="E1305" s="8"/>
      <c r="F1305" s="8"/>
      <c r="G1305" s="9"/>
      <c r="H1305" s="8"/>
      <c r="I1305" s="8"/>
      <c r="J1305" s="8"/>
      <c r="K1305" s="8"/>
      <c r="L1305" s="8"/>
      <c r="M1305" s="8"/>
      <c r="N1305" s="8"/>
      <c r="O1305" s="8"/>
      <c r="P1305" s="8"/>
    </row>
    <row r="1306" spans="1:16" ht="22.5" customHeight="1" x14ac:dyDescent="0.35">
      <c r="A1306" s="25"/>
      <c r="C1306" s="121"/>
      <c r="D1306" s="8"/>
      <c r="E1306" s="8"/>
      <c r="F1306" s="8"/>
      <c r="G1306" s="9"/>
      <c r="H1306" s="8"/>
      <c r="I1306" s="8"/>
      <c r="J1306" s="8"/>
      <c r="K1306" s="8"/>
      <c r="L1306" s="8"/>
      <c r="M1306" s="8"/>
      <c r="N1306" s="8"/>
      <c r="O1306" s="8"/>
      <c r="P1306" s="8"/>
    </row>
    <row r="1307" spans="1:16" ht="22.5" customHeight="1" x14ac:dyDescent="0.35">
      <c r="A1307" s="25"/>
      <c r="C1307" s="121"/>
      <c r="D1307" s="8"/>
      <c r="E1307" s="8"/>
      <c r="F1307" s="8"/>
      <c r="G1307" s="9"/>
      <c r="H1307" s="8"/>
      <c r="I1307" s="8"/>
      <c r="J1307" s="8"/>
      <c r="K1307" s="8"/>
      <c r="L1307" s="8"/>
      <c r="M1307" s="8"/>
      <c r="N1307" s="8"/>
      <c r="O1307" s="8"/>
      <c r="P1307" s="8"/>
    </row>
    <row r="1308" spans="1:16" ht="22.5" customHeight="1" x14ac:dyDescent="0.35">
      <c r="A1308" s="25"/>
      <c r="C1308" s="121"/>
      <c r="D1308" s="8"/>
      <c r="E1308" s="8"/>
      <c r="F1308" s="8"/>
      <c r="G1308" s="9"/>
      <c r="H1308" s="8"/>
      <c r="I1308" s="8"/>
      <c r="J1308" s="8"/>
      <c r="K1308" s="8"/>
      <c r="L1308" s="8"/>
      <c r="M1308" s="8"/>
      <c r="N1308" s="8"/>
      <c r="O1308" s="8"/>
      <c r="P1308" s="8"/>
    </row>
    <row r="1309" spans="1:16" ht="22.5" customHeight="1" x14ac:dyDescent="0.35">
      <c r="A1309" s="25"/>
      <c r="C1309" s="121"/>
      <c r="D1309" s="8"/>
      <c r="E1309" s="8"/>
      <c r="F1309" s="8"/>
      <c r="G1309" s="9"/>
      <c r="H1309" s="8"/>
      <c r="I1309" s="8"/>
      <c r="J1309" s="8"/>
      <c r="K1309" s="8"/>
      <c r="L1309" s="8"/>
      <c r="M1309" s="8"/>
      <c r="N1309" s="8"/>
      <c r="O1309" s="8"/>
      <c r="P1309" s="8"/>
    </row>
    <row r="1310" spans="1:16" ht="22.5" customHeight="1" x14ac:dyDescent="0.35">
      <c r="A1310" s="25"/>
      <c r="C1310" s="121"/>
      <c r="D1310" s="8"/>
      <c r="E1310" s="8"/>
      <c r="F1310" s="8"/>
      <c r="G1310" s="9"/>
      <c r="H1310" s="8"/>
      <c r="I1310" s="8"/>
      <c r="J1310" s="8"/>
      <c r="K1310" s="8"/>
      <c r="L1310" s="8"/>
      <c r="M1310" s="8"/>
      <c r="N1310" s="8"/>
      <c r="O1310" s="8"/>
      <c r="P1310" s="8"/>
    </row>
    <row r="1311" spans="1:16" ht="22.5" customHeight="1" x14ac:dyDescent="0.35">
      <c r="A1311" s="25"/>
      <c r="C1311" s="121"/>
      <c r="D1311" s="8"/>
      <c r="E1311" s="8"/>
      <c r="F1311" s="8"/>
      <c r="G1311" s="9"/>
      <c r="H1311" s="8"/>
      <c r="I1311" s="8"/>
      <c r="J1311" s="8"/>
      <c r="K1311" s="8"/>
      <c r="L1311" s="8"/>
      <c r="M1311" s="8"/>
      <c r="N1311" s="8"/>
      <c r="O1311" s="8"/>
      <c r="P1311" s="8"/>
    </row>
    <row r="1312" spans="1:16" ht="22.5" customHeight="1" x14ac:dyDescent="0.35">
      <c r="A1312" s="25"/>
      <c r="C1312" s="121"/>
      <c r="D1312" s="8"/>
      <c r="E1312" s="8"/>
      <c r="F1312" s="8"/>
      <c r="G1312" s="9"/>
      <c r="H1312" s="8"/>
      <c r="I1312" s="8"/>
      <c r="J1312" s="8"/>
      <c r="K1312" s="8"/>
      <c r="L1312" s="8"/>
      <c r="M1312" s="8"/>
      <c r="N1312" s="8"/>
      <c r="O1312" s="8"/>
      <c r="P1312" s="8"/>
    </row>
    <row r="1313" spans="1:16" ht="22.5" customHeight="1" x14ac:dyDescent="0.35">
      <c r="A1313" s="25"/>
      <c r="C1313" s="121"/>
      <c r="D1313" s="8"/>
      <c r="E1313" s="8"/>
      <c r="F1313" s="8"/>
      <c r="G1313" s="9"/>
      <c r="H1313" s="8"/>
      <c r="I1313" s="8"/>
      <c r="J1313" s="8"/>
      <c r="K1313" s="8"/>
      <c r="L1313" s="8"/>
      <c r="M1313" s="8"/>
      <c r="N1313" s="8"/>
      <c r="O1313" s="8"/>
      <c r="P1313" s="8"/>
    </row>
    <row r="1314" spans="1:16" ht="22.5" customHeight="1" x14ac:dyDescent="0.35">
      <c r="A1314" s="25"/>
      <c r="C1314" s="121"/>
      <c r="D1314" s="8"/>
      <c r="E1314" s="8"/>
      <c r="F1314" s="8"/>
      <c r="G1314" s="9"/>
      <c r="H1314" s="8"/>
      <c r="I1314" s="8"/>
      <c r="J1314" s="8"/>
      <c r="K1314" s="8"/>
      <c r="L1314" s="8"/>
      <c r="M1314" s="8"/>
      <c r="N1314" s="8"/>
      <c r="O1314" s="8"/>
      <c r="P1314" s="8"/>
    </row>
    <row r="1315" spans="1:16" ht="22.5" customHeight="1" x14ac:dyDescent="0.35">
      <c r="A1315" s="25"/>
      <c r="C1315" s="121"/>
      <c r="D1315" s="8"/>
      <c r="E1315" s="8"/>
      <c r="F1315" s="8"/>
      <c r="G1315" s="9"/>
      <c r="H1315" s="8"/>
      <c r="I1315" s="8"/>
      <c r="J1315" s="8"/>
      <c r="K1315" s="8"/>
      <c r="L1315" s="8"/>
      <c r="M1315" s="8"/>
      <c r="N1315" s="8"/>
      <c r="O1315" s="8"/>
      <c r="P1315" s="8"/>
    </row>
    <row r="1316" spans="1:16" ht="22.5" customHeight="1" x14ac:dyDescent="0.35">
      <c r="A1316" s="25"/>
      <c r="C1316" s="121"/>
      <c r="D1316" s="8"/>
      <c r="E1316" s="8"/>
      <c r="F1316" s="8"/>
      <c r="G1316" s="9"/>
      <c r="H1316" s="8"/>
      <c r="I1316" s="8"/>
      <c r="J1316" s="8"/>
      <c r="K1316" s="8"/>
      <c r="L1316" s="8"/>
      <c r="M1316" s="8"/>
      <c r="N1316" s="8"/>
      <c r="O1316" s="8"/>
      <c r="P1316" s="8"/>
    </row>
    <row r="1317" spans="1:16" ht="22.5" customHeight="1" x14ac:dyDescent="0.35">
      <c r="A1317" s="25"/>
      <c r="C1317" s="121"/>
      <c r="D1317" s="8"/>
      <c r="E1317" s="8"/>
      <c r="F1317" s="8"/>
      <c r="G1317" s="9"/>
      <c r="H1317" s="8"/>
      <c r="I1317" s="8"/>
      <c r="J1317" s="8"/>
      <c r="K1317" s="8"/>
      <c r="L1317" s="8"/>
      <c r="M1317" s="8"/>
      <c r="N1317" s="8"/>
      <c r="O1317" s="8"/>
      <c r="P1317" s="8"/>
    </row>
    <row r="1318" spans="1:16" ht="22.5" customHeight="1" x14ac:dyDescent="0.35">
      <c r="A1318" s="25"/>
      <c r="C1318" s="121"/>
      <c r="D1318" s="8"/>
      <c r="E1318" s="8"/>
      <c r="F1318" s="8"/>
      <c r="G1318" s="9"/>
      <c r="H1318" s="8"/>
      <c r="I1318" s="8"/>
      <c r="J1318" s="8"/>
      <c r="K1318" s="8"/>
      <c r="L1318" s="8"/>
      <c r="M1318" s="8"/>
      <c r="N1318" s="8"/>
      <c r="O1318" s="8"/>
      <c r="P1318" s="8"/>
    </row>
    <row r="1319" spans="1:16" ht="22.5" customHeight="1" x14ac:dyDescent="0.35">
      <c r="A1319" s="25"/>
      <c r="C1319" s="121"/>
      <c r="D1319" s="8"/>
      <c r="E1319" s="8"/>
      <c r="F1319" s="8"/>
      <c r="G1319" s="9"/>
      <c r="H1319" s="8"/>
      <c r="I1319" s="8"/>
      <c r="J1319" s="8"/>
      <c r="K1319" s="8"/>
      <c r="L1319" s="8"/>
      <c r="M1319" s="8"/>
      <c r="N1319" s="8"/>
      <c r="O1319" s="8"/>
      <c r="P1319" s="8"/>
    </row>
    <row r="1320" spans="1:16" ht="22.5" customHeight="1" x14ac:dyDescent="0.35">
      <c r="A1320" s="25"/>
      <c r="C1320" s="121"/>
      <c r="D1320" s="8"/>
      <c r="E1320" s="8"/>
      <c r="F1320" s="8"/>
      <c r="G1320" s="9"/>
      <c r="H1320" s="8"/>
      <c r="I1320" s="8"/>
      <c r="J1320" s="8"/>
      <c r="K1320" s="8"/>
      <c r="L1320" s="8"/>
      <c r="M1320" s="8"/>
      <c r="N1320" s="8"/>
      <c r="O1320" s="8"/>
      <c r="P1320" s="8"/>
    </row>
    <row r="1321" spans="1:16" ht="22.5" customHeight="1" x14ac:dyDescent="0.35">
      <c r="A1321" s="25"/>
      <c r="C1321" s="121"/>
      <c r="D1321" s="8"/>
      <c r="E1321" s="8"/>
      <c r="F1321" s="8"/>
      <c r="G1321" s="9"/>
      <c r="H1321" s="8"/>
      <c r="I1321" s="8"/>
      <c r="J1321" s="8"/>
      <c r="K1321" s="8"/>
      <c r="L1321" s="8"/>
      <c r="M1321" s="8"/>
      <c r="N1321" s="8"/>
      <c r="O1321" s="8"/>
      <c r="P1321" s="8"/>
    </row>
    <row r="1322" spans="1:16" ht="22.5" customHeight="1" x14ac:dyDescent="0.35">
      <c r="A1322" s="25"/>
      <c r="C1322" s="121"/>
      <c r="D1322" s="8"/>
      <c r="E1322" s="8"/>
      <c r="F1322" s="8"/>
      <c r="G1322" s="9"/>
      <c r="H1322" s="8"/>
      <c r="I1322" s="8"/>
      <c r="J1322" s="8"/>
      <c r="K1322" s="8"/>
      <c r="L1322" s="8"/>
      <c r="M1322" s="8"/>
      <c r="N1322" s="8"/>
      <c r="O1322" s="8"/>
      <c r="P1322" s="8"/>
    </row>
    <row r="1323" spans="1:16" ht="22.5" customHeight="1" x14ac:dyDescent="0.35">
      <c r="A1323" s="25"/>
      <c r="C1323" s="121"/>
      <c r="D1323" s="8"/>
      <c r="E1323" s="8"/>
      <c r="F1323" s="8"/>
      <c r="G1323" s="9"/>
      <c r="H1323" s="8"/>
      <c r="I1323" s="8"/>
      <c r="J1323" s="8"/>
      <c r="K1323" s="8"/>
      <c r="L1323" s="8"/>
      <c r="M1323" s="8"/>
      <c r="N1323" s="8"/>
      <c r="O1323" s="8"/>
      <c r="P1323" s="8"/>
    </row>
    <row r="1324" spans="1:16" ht="22.5" customHeight="1" x14ac:dyDescent="0.35">
      <c r="A1324" s="25"/>
      <c r="C1324" s="121"/>
      <c r="D1324" s="8"/>
      <c r="E1324" s="8"/>
      <c r="F1324" s="8"/>
      <c r="G1324" s="9"/>
      <c r="H1324" s="8"/>
      <c r="I1324" s="8"/>
      <c r="J1324" s="8"/>
      <c r="K1324" s="8"/>
      <c r="L1324" s="8"/>
      <c r="M1324" s="8"/>
      <c r="N1324" s="8"/>
      <c r="O1324" s="8"/>
      <c r="P1324" s="8"/>
    </row>
    <row r="1325" spans="1:16" ht="22.5" customHeight="1" x14ac:dyDescent="0.35">
      <c r="A1325" s="25"/>
      <c r="C1325" s="121"/>
      <c r="D1325" s="8"/>
      <c r="E1325" s="8"/>
      <c r="F1325" s="8"/>
      <c r="G1325" s="9"/>
      <c r="H1325" s="8"/>
      <c r="I1325" s="8"/>
      <c r="J1325" s="8"/>
      <c r="K1325" s="8"/>
      <c r="L1325" s="8"/>
      <c r="M1325" s="8"/>
      <c r="N1325" s="8"/>
      <c r="O1325" s="8"/>
      <c r="P1325" s="8"/>
    </row>
    <row r="1326" spans="1:16" ht="22.5" customHeight="1" x14ac:dyDescent="0.35">
      <c r="A1326" s="25"/>
      <c r="C1326" s="121"/>
      <c r="D1326" s="8"/>
      <c r="E1326" s="8"/>
      <c r="F1326" s="8"/>
      <c r="G1326" s="9"/>
      <c r="H1326" s="8"/>
      <c r="I1326" s="8"/>
      <c r="J1326" s="8"/>
      <c r="K1326" s="8"/>
      <c r="L1326" s="8"/>
      <c r="M1326" s="8"/>
      <c r="N1326" s="8"/>
      <c r="O1326" s="8"/>
      <c r="P1326" s="8"/>
    </row>
    <row r="1327" spans="1:16" ht="22.5" customHeight="1" x14ac:dyDescent="0.35">
      <c r="A1327" s="25"/>
      <c r="C1327" s="121"/>
      <c r="D1327" s="8"/>
      <c r="E1327" s="8"/>
      <c r="F1327" s="8"/>
      <c r="G1327" s="9"/>
      <c r="H1327" s="8"/>
      <c r="I1327" s="8"/>
      <c r="J1327" s="8"/>
      <c r="K1327" s="8"/>
      <c r="L1327" s="8"/>
      <c r="M1327" s="8"/>
      <c r="N1327" s="8"/>
      <c r="O1327" s="8"/>
      <c r="P1327" s="8"/>
    </row>
    <row r="1328" spans="1:16" ht="22.5" customHeight="1" x14ac:dyDescent="0.35">
      <c r="A1328" s="25"/>
      <c r="C1328" s="121"/>
      <c r="D1328" s="8"/>
      <c r="E1328" s="8"/>
      <c r="F1328" s="8"/>
      <c r="G1328" s="9"/>
      <c r="H1328" s="8"/>
      <c r="I1328" s="8"/>
      <c r="J1328" s="8"/>
      <c r="K1328" s="8"/>
      <c r="L1328" s="8"/>
      <c r="M1328" s="8"/>
      <c r="N1328" s="8"/>
      <c r="O1328" s="8"/>
      <c r="P1328" s="8"/>
    </row>
    <row r="1329" spans="1:16" ht="22.5" customHeight="1" x14ac:dyDescent="0.35">
      <c r="A1329" s="25"/>
      <c r="C1329" s="121"/>
      <c r="D1329" s="8"/>
      <c r="E1329" s="8"/>
      <c r="F1329" s="8"/>
      <c r="G1329" s="9"/>
      <c r="H1329" s="8"/>
      <c r="I1329" s="8"/>
      <c r="J1329" s="8"/>
      <c r="K1329" s="8"/>
      <c r="L1329" s="8"/>
      <c r="M1329" s="8"/>
      <c r="N1329" s="8"/>
      <c r="O1329" s="8"/>
      <c r="P1329" s="8"/>
    </row>
    <row r="1330" spans="1:16" ht="22.5" customHeight="1" x14ac:dyDescent="0.35">
      <c r="A1330" s="25"/>
      <c r="C1330" s="121"/>
      <c r="D1330" s="8"/>
      <c r="E1330" s="8"/>
      <c r="F1330" s="8"/>
      <c r="G1330" s="9"/>
      <c r="H1330" s="8"/>
      <c r="I1330" s="8"/>
      <c r="J1330" s="8"/>
      <c r="K1330" s="8"/>
      <c r="L1330" s="8"/>
      <c r="M1330" s="8"/>
      <c r="N1330" s="8"/>
      <c r="O1330" s="8"/>
      <c r="P1330" s="8"/>
    </row>
    <row r="1331" spans="1:16" ht="22.5" customHeight="1" x14ac:dyDescent="0.35">
      <c r="A1331" s="25"/>
      <c r="C1331" s="121"/>
      <c r="D1331" s="8"/>
      <c r="E1331" s="8"/>
      <c r="F1331" s="8"/>
      <c r="G1331" s="9"/>
      <c r="H1331" s="8"/>
      <c r="I1331" s="8"/>
      <c r="J1331" s="8"/>
      <c r="K1331" s="8"/>
      <c r="L1331" s="8"/>
      <c r="M1331" s="8"/>
      <c r="N1331" s="8"/>
      <c r="O1331" s="8"/>
      <c r="P1331" s="8"/>
    </row>
    <row r="1332" spans="1:16" ht="22.5" customHeight="1" x14ac:dyDescent="0.35">
      <c r="A1332" s="25"/>
      <c r="C1332" s="121"/>
      <c r="D1332" s="8"/>
      <c r="E1332" s="8"/>
      <c r="F1332" s="8"/>
      <c r="G1332" s="9"/>
      <c r="H1332" s="8"/>
      <c r="I1332" s="8"/>
      <c r="J1332" s="8"/>
      <c r="K1332" s="8"/>
      <c r="L1332" s="8"/>
      <c r="M1332" s="8"/>
      <c r="N1332" s="8"/>
      <c r="O1332" s="8"/>
      <c r="P1332" s="8"/>
    </row>
    <row r="1333" spans="1:16" ht="22.5" customHeight="1" x14ac:dyDescent="0.35">
      <c r="A1333" s="25"/>
      <c r="C1333" s="122"/>
      <c r="D1333" s="8"/>
      <c r="E1333" s="8"/>
      <c r="F1333" s="8"/>
      <c r="G1333" s="9"/>
      <c r="H1333" s="8"/>
      <c r="I1333" s="8"/>
      <c r="J1333" s="8"/>
      <c r="K1333" s="8"/>
      <c r="L1333" s="8"/>
      <c r="M1333" s="8"/>
      <c r="N1333" s="8"/>
      <c r="O1333" s="8"/>
      <c r="P1333" s="8"/>
    </row>
    <row r="1334" spans="1:16" ht="22.5" customHeight="1" x14ac:dyDescent="0.35">
      <c r="A1334" s="25"/>
      <c r="D1334" s="8"/>
      <c r="E1334" s="8"/>
      <c r="F1334" s="8"/>
      <c r="G1334" s="9"/>
      <c r="H1334" s="8"/>
      <c r="I1334" s="8"/>
      <c r="J1334" s="8"/>
      <c r="K1334" s="8"/>
      <c r="L1334" s="8"/>
      <c r="M1334" s="8"/>
      <c r="N1334" s="8"/>
      <c r="O1334" s="8"/>
      <c r="P1334" s="8"/>
    </row>
    <row r="1335" spans="1:16" ht="22.5" customHeight="1" x14ac:dyDescent="0.35">
      <c r="A1335" s="25"/>
      <c r="D1335" s="8"/>
      <c r="E1335" s="8"/>
      <c r="F1335" s="8"/>
      <c r="G1335" s="9"/>
      <c r="H1335" s="8"/>
      <c r="I1335" s="8"/>
      <c r="J1335" s="8"/>
      <c r="K1335" s="8"/>
      <c r="L1335" s="8"/>
      <c r="M1335" s="8"/>
      <c r="N1335" s="8"/>
      <c r="O1335" s="8"/>
      <c r="P1335" s="8"/>
    </row>
    <row r="1336" spans="1:16" ht="22.5" customHeight="1" x14ac:dyDescent="0.35">
      <c r="A1336" s="25"/>
      <c r="D1336" s="8"/>
      <c r="E1336" s="8"/>
      <c r="F1336" s="8"/>
      <c r="G1336" s="9"/>
      <c r="H1336" s="8"/>
      <c r="I1336" s="8"/>
      <c r="J1336" s="8"/>
      <c r="K1336" s="8"/>
      <c r="L1336" s="8"/>
      <c r="M1336" s="8"/>
      <c r="N1336" s="8"/>
      <c r="O1336" s="8"/>
      <c r="P1336" s="8"/>
    </row>
    <row r="1337" spans="1:16" ht="22.5" customHeight="1" x14ac:dyDescent="0.35">
      <c r="A1337" s="25"/>
      <c r="D1337" s="8"/>
      <c r="E1337" s="8"/>
      <c r="F1337" s="8"/>
      <c r="G1337" s="9"/>
      <c r="H1337" s="8"/>
      <c r="I1337" s="8"/>
      <c r="J1337" s="8"/>
      <c r="K1337" s="8"/>
      <c r="L1337" s="8"/>
      <c r="M1337" s="8"/>
      <c r="N1337" s="8"/>
      <c r="O1337" s="8"/>
      <c r="P1337" s="8"/>
    </row>
    <row r="1338" spans="1:16" ht="22.5" customHeight="1" x14ac:dyDescent="0.35">
      <c r="A1338" s="25"/>
      <c r="D1338" s="8"/>
      <c r="E1338" s="8"/>
      <c r="F1338" s="8"/>
      <c r="G1338" s="9"/>
      <c r="H1338" s="8"/>
      <c r="I1338" s="8"/>
      <c r="J1338" s="8"/>
      <c r="K1338" s="8"/>
      <c r="L1338" s="8"/>
      <c r="M1338" s="8"/>
      <c r="N1338" s="8"/>
      <c r="O1338" s="8"/>
      <c r="P1338" s="8"/>
    </row>
    <row r="1339" spans="1:16" ht="22.5" customHeight="1" x14ac:dyDescent="0.35">
      <c r="A1339" s="25"/>
      <c r="D1339" s="8"/>
      <c r="E1339" s="8"/>
      <c r="F1339" s="8"/>
      <c r="G1339" s="9"/>
      <c r="H1339" s="8"/>
      <c r="I1339" s="8"/>
      <c r="J1339" s="8"/>
      <c r="K1339" s="8"/>
      <c r="L1339" s="8"/>
      <c r="M1339" s="8"/>
      <c r="N1339" s="8"/>
      <c r="O1339" s="8"/>
      <c r="P1339" s="8"/>
    </row>
    <row r="1340" spans="1:16" ht="22.5" customHeight="1" x14ac:dyDescent="0.35">
      <c r="A1340" s="25"/>
      <c r="D1340" s="8"/>
      <c r="E1340" s="8"/>
      <c r="F1340" s="8"/>
      <c r="G1340" s="9"/>
      <c r="H1340" s="8"/>
      <c r="I1340" s="8"/>
      <c r="J1340" s="8"/>
      <c r="K1340" s="8"/>
      <c r="L1340" s="8"/>
      <c r="M1340" s="8"/>
      <c r="N1340" s="8"/>
      <c r="O1340" s="8"/>
      <c r="P1340" s="8"/>
    </row>
  </sheetData>
  <mergeCells count="3">
    <mergeCell ref="A1:C1"/>
    <mergeCell ref="A5:A6"/>
    <mergeCell ref="A29:A45"/>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1DB6-89A5-4787-81E0-7636967201DF}">
  <dimension ref="B1:AG4"/>
  <sheetViews>
    <sheetView workbookViewId="0">
      <selection activeCell="B4" sqref="B1:B4"/>
    </sheetView>
  </sheetViews>
  <sheetFormatPr baseColWidth="10" defaultColWidth="8.81640625" defaultRowHeight="14.5" x14ac:dyDescent="0.35"/>
  <cols>
    <col min="2" max="2" width="97.81640625" customWidth="1"/>
  </cols>
  <sheetData>
    <row r="1" spans="2:33" s="125" customFormat="1" ht="64.900000000000006" customHeight="1" x14ac:dyDescent="0.35">
      <c r="B1" s="126" t="s">
        <v>21</v>
      </c>
      <c r="C1" s="127"/>
      <c r="D1" s="127"/>
      <c r="E1" s="127"/>
      <c r="F1" s="127"/>
      <c r="G1" s="127"/>
      <c r="H1" s="127"/>
      <c r="I1" s="127"/>
      <c r="J1" s="127"/>
      <c r="K1" s="127"/>
      <c r="L1" s="127"/>
      <c r="M1" s="128"/>
      <c r="N1" s="129"/>
      <c r="O1" s="129"/>
      <c r="P1" s="129"/>
      <c r="Q1" s="130"/>
      <c r="R1" s="129"/>
      <c r="S1" s="129"/>
      <c r="T1" s="129"/>
      <c r="U1" s="129"/>
      <c r="V1" s="129"/>
      <c r="W1" s="129"/>
      <c r="X1" s="129"/>
      <c r="Y1" s="129"/>
      <c r="Z1" s="129"/>
      <c r="AA1" s="131"/>
      <c r="AB1" s="132">
        <v>183102269.24489561</v>
      </c>
      <c r="AC1" s="133">
        <v>315693.56766361312</v>
      </c>
      <c r="AD1" s="134"/>
      <c r="AE1" s="135"/>
      <c r="AF1" s="136"/>
      <c r="AG1" s="136"/>
    </row>
    <row r="2" spans="2:33" s="124" customFormat="1" ht="78.400000000000006" customHeight="1" x14ac:dyDescent="0.35">
      <c r="B2" s="137" t="s">
        <v>24</v>
      </c>
      <c r="C2" s="138"/>
      <c r="D2" s="138"/>
      <c r="E2" s="138"/>
      <c r="F2" s="138"/>
      <c r="G2" s="138"/>
      <c r="H2" s="138"/>
      <c r="I2" s="138"/>
      <c r="J2" s="138"/>
      <c r="K2" s="138"/>
      <c r="L2" s="138"/>
      <c r="M2" s="138"/>
      <c r="N2" s="139"/>
      <c r="O2" s="140"/>
      <c r="P2" s="140"/>
      <c r="Q2" s="140"/>
      <c r="R2" s="140"/>
      <c r="S2" s="140"/>
      <c r="T2" s="140"/>
      <c r="U2" s="140"/>
      <c r="V2" s="140"/>
      <c r="W2" s="140"/>
      <c r="X2" s="140"/>
      <c r="Y2" s="140"/>
      <c r="Z2" s="140"/>
      <c r="AA2" s="140"/>
      <c r="AB2" s="141">
        <v>394082705.62064505</v>
      </c>
      <c r="AC2" s="142">
        <v>679452.94072525005</v>
      </c>
      <c r="AF2" s="136"/>
      <c r="AG2" s="123"/>
    </row>
    <row r="3" spans="2:33" s="125" customFormat="1" ht="63" customHeight="1" x14ac:dyDescent="0.35">
      <c r="B3" s="137" t="s">
        <v>27</v>
      </c>
      <c r="C3" s="138"/>
      <c r="D3" s="138"/>
      <c r="E3" s="138"/>
      <c r="F3" s="138"/>
      <c r="G3" s="138"/>
      <c r="H3" s="138"/>
      <c r="I3" s="138"/>
      <c r="J3" s="138"/>
      <c r="K3" s="138"/>
      <c r="L3" s="138"/>
      <c r="M3" s="138"/>
      <c r="N3" s="139"/>
      <c r="O3" s="143" t="s">
        <v>209</v>
      </c>
      <c r="P3" s="144" t="s">
        <v>210</v>
      </c>
      <c r="Q3" s="145" t="s">
        <v>211</v>
      </c>
      <c r="R3" s="143" t="s">
        <v>212</v>
      </c>
      <c r="S3" s="143" t="s">
        <v>213</v>
      </c>
      <c r="T3" s="143" t="s">
        <v>214</v>
      </c>
      <c r="U3" s="143" t="s">
        <v>215</v>
      </c>
      <c r="V3" s="143" t="s">
        <v>216</v>
      </c>
      <c r="W3" s="146" t="s">
        <v>217</v>
      </c>
      <c r="X3" s="129"/>
      <c r="Y3" s="129"/>
      <c r="Z3" s="129"/>
      <c r="AA3" s="147" t="s">
        <v>1746</v>
      </c>
      <c r="AB3" s="148">
        <v>12049500</v>
      </c>
      <c r="AC3" s="149">
        <v>23230</v>
      </c>
      <c r="AF3" s="136"/>
      <c r="AG3" s="136"/>
    </row>
    <row r="4" spans="2:33" s="125" customFormat="1" ht="26.25" customHeight="1" x14ac:dyDescent="0.35">
      <c r="B4" s="137" t="s">
        <v>29</v>
      </c>
      <c r="C4" s="138"/>
      <c r="D4" s="138"/>
      <c r="E4" s="138"/>
      <c r="F4" s="138"/>
      <c r="G4" s="138"/>
      <c r="H4" s="138"/>
      <c r="I4" s="138"/>
      <c r="J4" s="138"/>
      <c r="K4" s="138"/>
      <c r="L4" s="138"/>
      <c r="M4" s="139"/>
      <c r="N4" s="150"/>
      <c r="O4" s="151"/>
      <c r="P4" s="152"/>
      <c r="Q4" s="152"/>
      <c r="R4" s="152"/>
      <c r="S4" s="151"/>
      <c r="T4" s="152"/>
      <c r="U4" s="152"/>
      <c r="V4" s="152"/>
      <c r="W4" s="152"/>
      <c r="X4" s="153"/>
      <c r="Y4" s="153"/>
      <c r="Z4" s="129"/>
      <c r="AA4" s="147" t="s">
        <v>1747</v>
      </c>
      <c r="AB4" s="148">
        <v>16008000</v>
      </c>
      <c r="AC4" s="149">
        <v>27600</v>
      </c>
      <c r="AF4" s="136"/>
      <c r="AG4" s="136"/>
    </row>
  </sheetData>
  <conditionalFormatting sqref="AD1">
    <cfRule type="containsText" dxfId="0" priority="1" operator="containsText" text="DONE">
      <formula>NOT(ISERROR(SEARCH(("DONE"),(AD1))))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CSV</vt:lpstr>
      <vt:lpstr>cash advance</vt:lpstr>
      <vt:lpstr>3.Tasks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Ashumbang Rene</dc:creator>
  <cp:lastModifiedBy>Aureol Ngako</cp:lastModifiedBy>
  <cp:lastPrinted>2021-09-30T12:12:39Z</cp:lastPrinted>
  <dcterms:created xsi:type="dcterms:W3CDTF">2019-05-02T02:36:48Z</dcterms:created>
  <dcterms:modified xsi:type="dcterms:W3CDTF">2025-04-21T10:12:06Z</dcterms:modified>
</cp:coreProperties>
</file>